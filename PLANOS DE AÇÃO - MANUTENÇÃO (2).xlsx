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italo.carvalho\Downloads\"/>
    </mc:Choice>
  </mc:AlternateContent>
  <xr:revisionPtr revIDLastSave="0" documentId="13_ncr:1_{D4C23BE1-DC2C-491B-A00C-9EA6240632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o de Ação" sheetId="11" r:id="rId1"/>
    <sheet name="Semanas" sheetId="14" state="hidden" r:id="rId2"/>
  </sheets>
  <externalReferences>
    <externalReference r:id="rId3"/>
    <externalReference r:id="rId4"/>
  </externalReferences>
  <definedNames>
    <definedName name="_xlnm._FilterDatabase" localSheetId="0" hidden="1">'Plano de Ação'!$A$2:$AC$211</definedName>
    <definedName name="_xlnm.Database">#REF!</definedName>
    <definedName name="_xlnm.Criteria">#REF!</definedName>
    <definedName name="Pilares">[1]Tab!$L$4:$L$11</definedName>
    <definedName name="STATUS">[2]Lists!$J$2:$J$6</definedName>
    <definedName name="Un">[1]Tab!$B$4:$B$60</definedName>
    <definedName name="vUn">[1]Tab!$B$61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61" i="11" l="1"/>
  <c r="W168" i="11"/>
  <c r="W164" i="11"/>
  <c r="W163" i="11"/>
  <c r="W162" i="11"/>
  <c r="W160" i="11"/>
  <c r="W159" i="11"/>
  <c r="W158" i="11"/>
  <c r="W157" i="11"/>
  <c r="W156" i="11"/>
  <c r="V168" i="11"/>
  <c r="V167" i="11"/>
  <c r="V166" i="11"/>
  <c r="V165" i="11"/>
  <c r="V164" i="11"/>
  <c r="V163" i="11"/>
  <c r="V162" i="11"/>
  <c r="V160" i="11"/>
  <c r="V159" i="11"/>
  <c r="V158" i="11"/>
  <c r="V157" i="11"/>
  <c r="W155" i="11"/>
  <c r="W153" i="11"/>
  <c r="W152" i="11"/>
  <c r="W151" i="11"/>
  <c r="W150" i="11"/>
  <c r="W147" i="11"/>
  <c r="W146" i="11"/>
  <c r="W145" i="11"/>
  <c r="W144" i="11"/>
  <c r="W143" i="11"/>
  <c r="W142" i="11"/>
  <c r="W141" i="11"/>
  <c r="W140" i="11"/>
  <c r="W139" i="11"/>
  <c r="W138" i="11"/>
  <c r="W137" i="11"/>
  <c r="W136" i="11"/>
  <c r="W135" i="11"/>
  <c r="W134" i="11"/>
  <c r="W133" i="11"/>
  <c r="V133" i="11"/>
  <c r="V134" i="11"/>
  <c r="V135" i="11"/>
  <c r="V136" i="11"/>
  <c r="V137" i="11"/>
  <c r="V138" i="11"/>
  <c r="V139" i="11"/>
  <c r="V140" i="11"/>
  <c r="V141" i="11"/>
  <c r="V142" i="11"/>
  <c r="V143" i="11"/>
  <c r="V144" i="11"/>
  <c r="V145" i="11"/>
  <c r="V146" i="11"/>
  <c r="V147" i="11"/>
  <c r="V148" i="11"/>
  <c r="V149" i="11"/>
  <c r="V150" i="11"/>
  <c r="V151" i="11"/>
  <c r="V152" i="11"/>
  <c r="V153" i="11"/>
  <c r="V154" i="11"/>
  <c r="V155" i="11"/>
  <c r="V156" i="11"/>
  <c r="W132" i="11"/>
  <c r="W93" i="11"/>
  <c r="W94" i="11"/>
  <c r="W88" i="11"/>
  <c r="W86" i="11"/>
  <c r="V132" i="11"/>
  <c r="W130" i="11"/>
  <c r="W131" i="11"/>
  <c r="W126" i="11"/>
  <c r="W127" i="11"/>
  <c r="W128" i="11"/>
  <c r="W125" i="11"/>
  <c r="W121" i="11"/>
  <c r="W122" i="11"/>
  <c r="W123" i="11"/>
  <c r="W124" i="11"/>
  <c r="W129" i="11"/>
  <c r="W119" i="11"/>
  <c r="W90" i="11" l="1"/>
  <c r="W89" i="11"/>
  <c r="W87" i="11"/>
  <c r="V131" i="11"/>
  <c r="V130" i="11"/>
  <c r="V129" i="11"/>
  <c r="V128" i="11"/>
  <c r="V127" i="11"/>
  <c r="V126" i="11"/>
  <c r="V125" i="11"/>
  <c r="W92" i="11"/>
  <c r="W91" i="11"/>
  <c r="W120" i="11"/>
  <c r="V124" i="11"/>
  <c r="V123" i="11"/>
  <c r="V118" i="11"/>
  <c r="V117" i="11"/>
  <c r="V116" i="11"/>
  <c r="V115" i="11"/>
  <c r="V114" i="11"/>
  <c r="V113" i="11"/>
  <c r="W118" i="11"/>
  <c r="W117" i="11"/>
  <c r="W116" i="11"/>
  <c r="W115" i="11"/>
  <c r="W114" i="11"/>
  <c r="W113" i="11"/>
  <c r="W112" i="11"/>
  <c r="W111" i="11"/>
  <c r="W110" i="11"/>
  <c r="W109" i="11"/>
  <c r="W108" i="11"/>
  <c r="W107" i="11"/>
  <c r="W106" i="11"/>
  <c r="W105" i="11"/>
  <c r="W104" i="11"/>
  <c r="W103" i="11"/>
  <c r="W102" i="11"/>
  <c r="W101" i="11"/>
  <c r="W100" i="11"/>
  <c r="W99" i="11"/>
  <c r="W98" i="11"/>
  <c r="W97" i="11"/>
  <c r="W96" i="11"/>
  <c r="W95" i="11"/>
  <c r="W85" i="11"/>
  <c r="W84" i="11"/>
  <c r="W83" i="11"/>
  <c r="W82" i="11"/>
  <c r="W81" i="11"/>
  <c r="W80" i="11"/>
  <c r="W79" i="11"/>
  <c r="W78" i="11"/>
  <c r="W77" i="11"/>
  <c r="W76" i="11"/>
  <c r="W75" i="11"/>
  <c r="W74" i="11"/>
  <c r="W73" i="11"/>
  <c r="W72" i="11"/>
  <c r="W71" i="11"/>
  <c r="W70" i="11"/>
  <c r="W69" i="11"/>
  <c r="W68" i="11"/>
  <c r="W67" i="11"/>
  <c r="W66" i="11"/>
  <c r="W65" i="11"/>
  <c r="W64" i="11"/>
  <c r="W63" i="11"/>
  <c r="W62" i="11"/>
  <c r="W61" i="11"/>
  <c r="W59" i="11"/>
  <c r="V120" i="11"/>
  <c r="V121" i="11"/>
  <c r="V122" i="11"/>
  <c r="V119" i="11"/>
  <c r="V112" i="11"/>
  <c r="V111" i="11"/>
  <c r="V110" i="11"/>
  <c r="V109" i="11"/>
  <c r="V108" i="11"/>
  <c r="V107" i="11"/>
  <c r="V106" i="11"/>
  <c r="V105" i="11"/>
  <c r="V104" i="11"/>
  <c r="V103" i="11"/>
  <c r="V102" i="11"/>
  <c r="V101" i="11"/>
  <c r="V100" i="11"/>
  <c r="V99" i="11"/>
  <c r="V98" i="11"/>
  <c r="V97" i="11"/>
  <c r="V96" i="11"/>
  <c r="W46" i="11" l="1"/>
  <c r="W47" i="11"/>
  <c r="W48" i="11"/>
  <c r="W49" i="11"/>
  <c r="W50" i="11"/>
  <c r="W51" i="11"/>
  <c r="V51" i="11"/>
  <c r="V95" i="11"/>
  <c r="V94" i="11"/>
  <c r="V93" i="11"/>
  <c r="V92" i="11"/>
  <c r="V91" i="11"/>
  <c r="V90" i="11"/>
  <c r="V89" i="11"/>
  <c r="V88" i="11"/>
  <c r="V87" i="11"/>
  <c r="V86" i="11"/>
  <c r="V85" i="11"/>
  <c r="V84" i="11"/>
  <c r="V83" i="11"/>
  <c r="V82" i="11"/>
  <c r="V81" i="11"/>
  <c r="V80" i="11"/>
  <c r="V79" i="11"/>
  <c r="V78" i="11"/>
  <c r="V77" i="11"/>
  <c r="V76" i="11"/>
  <c r="V75" i="11"/>
  <c r="V74" i="11"/>
  <c r="V73" i="11"/>
  <c r="V72" i="11"/>
  <c r="V71" i="11"/>
  <c r="V70" i="11"/>
  <c r="V69" i="11"/>
  <c r="V68" i="11"/>
  <c r="V67" i="11"/>
  <c r="V61" i="11" l="1"/>
  <c r="V66" i="11"/>
  <c r="V65" i="11"/>
  <c r="V64" i="11"/>
  <c r="W54" i="11"/>
  <c r="W53" i="11"/>
  <c r="W52" i="11"/>
  <c r="W45" i="11"/>
  <c r="W41" i="11"/>
  <c r="V63" i="11"/>
  <c r="V41" i="11" l="1"/>
  <c r="V42" i="11"/>
  <c r="V43" i="11"/>
  <c r="W40" i="11"/>
  <c r="W39" i="11"/>
  <c r="W38" i="11"/>
  <c r="W37" i="11"/>
  <c r="W36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30" i="11"/>
  <c r="V31" i="11"/>
  <c r="V32" i="11"/>
  <c r="V33" i="11"/>
  <c r="V34" i="11"/>
  <c r="V35" i="11"/>
  <c r="V36" i="11"/>
  <c r="V37" i="11"/>
  <c r="V38" i="11"/>
  <c r="V39" i="11"/>
  <c r="V40" i="11"/>
  <c r="V44" i="11"/>
  <c r="V45" i="11"/>
  <c r="V46" i="11"/>
  <c r="V47" i="11"/>
  <c r="V48" i="11"/>
  <c r="V49" i="11"/>
  <c r="V50" i="11"/>
  <c r="V52" i="11"/>
  <c r="V53" i="11"/>
  <c r="V54" i="11"/>
  <c r="V55" i="11"/>
  <c r="V56" i="11"/>
  <c r="V57" i="11"/>
  <c r="V58" i="11"/>
  <c r="V59" i="11"/>
  <c r="V60" i="11"/>
  <c r="V62" i="11"/>
  <c r="M1" i="11" l="1"/>
  <c r="W31" i="11"/>
  <c r="W32" i="11"/>
  <c r="W33" i="11"/>
  <c r="W34" i="11"/>
  <c r="W35" i="11"/>
  <c r="W30" i="11"/>
  <c r="W29" i="11"/>
  <c r="S212" i="11" l="1" a="1"/>
  <c r="S212" i="11" s="1"/>
  <c r="S220" i="11" a="1"/>
  <c r="S220" i="11" s="1"/>
  <c r="S203" i="11" a="1"/>
  <c r="S203" i="11" s="1"/>
  <c r="S201" i="11" a="1"/>
  <c r="S201" i="11" s="1"/>
  <c r="S221" i="11" a="1"/>
  <c r="S221" i="11" s="1"/>
  <c r="S218" i="11" a="1"/>
  <c r="S218" i="11" s="1"/>
  <c r="S210" i="11" a="1"/>
  <c r="S210" i="11" s="1"/>
  <c r="S219" i="11" a="1"/>
  <c r="S219" i="11" s="1"/>
  <c r="S216" i="11" a="1"/>
  <c r="S216" i="11" s="1"/>
  <c r="S217" i="11" a="1"/>
  <c r="S217" i="11" s="1"/>
  <c r="S215" i="11" a="1"/>
  <c r="S215" i="11" s="1"/>
  <c r="S213" i="11" a="1"/>
  <c r="S213" i="11" s="1"/>
  <c r="S214" i="11" a="1"/>
  <c r="S214" i="11" s="1"/>
  <c r="S211" i="11" a="1"/>
  <c r="S211" i="11" s="1"/>
  <c r="S209" i="11" a="1"/>
  <c r="S209" i="11" s="1"/>
  <c r="S207" i="11" a="1"/>
  <c r="S207" i="11" s="1"/>
  <c r="S208" i="11" a="1"/>
  <c r="S208" i="11" s="1"/>
  <c r="S205" i="11" a="1"/>
  <c r="S205" i="11" s="1"/>
  <c r="S206" i="11" a="1"/>
  <c r="S206" i="11" s="1"/>
  <c r="S204" i="11" a="1"/>
  <c r="S204" i="11" s="1"/>
  <c r="S202" i="11" a="1"/>
  <c r="S202" i="11" s="1"/>
  <c r="S199" i="11" a="1"/>
  <c r="S199" i="11" s="1"/>
  <c r="S200" i="11" a="1"/>
  <c r="S200" i="11" s="1"/>
  <c r="S192" i="11" a="1"/>
  <c r="S192" i="11" s="1"/>
  <c r="S198" i="11" a="1"/>
  <c r="S198" i="11" s="1"/>
  <c r="S193" i="11" a="1"/>
  <c r="S193" i="11" s="1"/>
  <c r="S197" i="11" a="1"/>
  <c r="S197" i="11" s="1"/>
  <c r="S194" i="11" a="1"/>
  <c r="S194" i="11" s="1"/>
  <c r="S195" i="11" a="1"/>
  <c r="S195" i="11" s="1"/>
  <c r="S196" i="11" a="1"/>
  <c r="S196" i="11" s="1"/>
  <c r="S190" i="11" a="1"/>
  <c r="S190" i="11" s="1"/>
  <c r="S191" i="11" a="1"/>
  <c r="S191" i="11" s="1"/>
  <c r="S187" i="11" a="1"/>
  <c r="S187" i="11" s="1"/>
  <c r="S188" i="11" a="1"/>
  <c r="S188" i="11" s="1"/>
  <c r="S189" i="11" a="1"/>
  <c r="S189" i="11" s="1"/>
  <c r="S184" i="11" a="1"/>
  <c r="S184" i="11" s="1"/>
  <c r="S185" i="11" a="1"/>
  <c r="S185" i="11" s="1"/>
  <c r="S186" i="11" a="1"/>
  <c r="S186" i="11" s="1"/>
  <c r="S182" i="11" a="1"/>
  <c r="S182" i="11" s="1"/>
  <c r="S183" i="11" a="1"/>
  <c r="S183" i="11" s="1"/>
  <c r="S180" i="11" a="1"/>
  <c r="S180" i="11" s="1"/>
  <c r="S181" i="11" a="1"/>
  <c r="S181" i="11" s="1"/>
  <c r="S177" i="11" a="1"/>
  <c r="S177" i="11" s="1"/>
  <c r="S176" i="11" a="1"/>
  <c r="S176" i="11" s="1"/>
  <c r="S178" i="11" a="1"/>
  <c r="S178" i="11" s="1"/>
  <c r="S175" i="11" a="1"/>
  <c r="S175" i="11" s="1"/>
  <c r="S174" i="11" a="1"/>
  <c r="S174" i="11" s="1"/>
  <c r="S179" i="11" a="1"/>
  <c r="S179" i="11" s="1"/>
  <c r="S173" i="11" a="1"/>
  <c r="S173" i="11" s="1"/>
  <c r="S171" i="11" a="1"/>
  <c r="S171" i="11" s="1"/>
  <c r="S172" i="11" a="1"/>
  <c r="S172" i="11" s="1"/>
  <c r="S169" i="11" a="1"/>
  <c r="S169" i="11" s="1"/>
  <c r="S170" i="11" a="1"/>
  <c r="S170" i="11" s="1"/>
  <c r="S167" i="11" a="1"/>
  <c r="S167" i="11" s="1"/>
  <c r="S168" i="11" a="1"/>
  <c r="S168" i="11" s="1"/>
  <c r="S165" i="11" a="1"/>
  <c r="S165" i="11" s="1"/>
  <c r="S166" i="11" a="1"/>
  <c r="S166" i="11" s="1"/>
  <c r="S161" i="11" a="1"/>
  <c r="S161" i="11" s="1"/>
  <c r="S164" i="11" a="1"/>
  <c r="S164" i="11" s="1"/>
  <c r="S163" i="11" a="1"/>
  <c r="S163" i="11" s="1"/>
  <c r="S162" i="11" a="1"/>
  <c r="S162" i="11" s="1"/>
  <c r="S144" i="11" a="1"/>
  <c r="S144" i="11" s="1"/>
  <c r="S145" i="11" a="1"/>
  <c r="S145" i="11" s="1"/>
  <c r="S149" i="11" a="1"/>
  <c r="S149" i="11" s="1"/>
  <c r="S143" i="11" a="1"/>
  <c r="S143" i="11" s="1"/>
  <c r="S155" i="11" a="1"/>
  <c r="S155" i="11" s="1"/>
  <c r="S156" i="11" a="1"/>
  <c r="S156" i="11" s="1"/>
  <c r="S153" i="11" a="1"/>
  <c r="S153" i="11" s="1"/>
  <c r="S154" i="11" a="1"/>
  <c r="S154" i="11" s="1"/>
  <c r="S151" i="11" a="1"/>
  <c r="S151" i="11" s="1"/>
  <c r="S152" i="11" a="1"/>
  <c r="S152" i="11" s="1"/>
  <c r="S148" i="11" a="1"/>
  <c r="S148" i="11" s="1"/>
  <c r="S150" i="11" a="1"/>
  <c r="S150" i="11" s="1"/>
  <c r="S147" i="11" a="1"/>
  <c r="S147" i="11" s="1"/>
  <c r="S142" i="11" a="1"/>
  <c r="S142" i="11" s="1"/>
  <c r="S146" i="11" a="1"/>
  <c r="S146" i="11" s="1"/>
  <c r="S159" i="11" a="1"/>
  <c r="S159" i="11" s="1"/>
  <c r="S160" i="11" a="1"/>
  <c r="S160" i="11" s="1"/>
  <c r="S140" i="11" a="1"/>
  <c r="S140" i="11" s="1"/>
  <c r="S141" i="11" a="1"/>
  <c r="S141" i="11" s="1"/>
  <c r="S138" i="11" a="1"/>
  <c r="S138" i="11" s="1"/>
  <c r="S139" i="11" a="1"/>
  <c r="S139" i="11" s="1"/>
  <c r="S136" i="11" a="1"/>
  <c r="S136" i="11" s="1"/>
  <c r="S137" i="11" a="1"/>
  <c r="S137" i="11" s="1"/>
  <c r="S134" i="11" a="1"/>
  <c r="S134" i="11" s="1"/>
  <c r="S135" i="11" a="1"/>
  <c r="S135" i="11" s="1"/>
  <c r="S132" i="11" a="1"/>
  <c r="S132" i="11" s="1"/>
  <c r="S133" i="11" a="1"/>
  <c r="S133" i="11" s="1"/>
  <c r="S157" i="11" a="1"/>
  <c r="S157" i="11" s="1"/>
  <c r="S158" i="11" a="1"/>
  <c r="S158" i="11" s="1"/>
  <c r="S130" i="11" a="1"/>
  <c r="S130" i="11" s="1"/>
  <c r="S131" i="11" a="1"/>
  <c r="S131" i="11" s="1"/>
  <c r="S126" i="11" a="1"/>
  <c r="S126" i="11" s="1"/>
  <c r="S128" i="11" a="1"/>
  <c r="S128" i="11" s="1"/>
  <c r="S129" i="11" a="1"/>
  <c r="S129" i="11" s="1"/>
  <c r="S127" i="11" a="1"/>
  <c r="S127" i="11" s="1"/>
  <c r="S124" i="11" a="1"/>
  <c r="S124" i="11" s="1"/>
  <c r="S125" i="11" a="1"/>
  <c r="S125" i="11" s="1"/>
  <c r="S122" i="11" a="1"/>
  <c r="S122" i="11" s="1"/>
  <c r="S123" i="11" a="1"/>
  <c r="S123" i="11" s="1"/>
  <c r="S120" i="11" a="1"/>
  <c r="S120" i="11" s="1"/>
  <c r="S121" i="11" a="1"/>
  <c r="S121" i="11" s="1"/>
  <c r="S118" i="11" a="1"/>
  <c r="S118" i="11" s="1"/>
  <c r="S119" i="11" a="1"/>
  <c r="S119" i="11" s="1"/>
  <c r="S116" i="11" a="1"/>
  <c r="S116" i="11" s="1"/>
  <c r="S117" i="11" a="1"/>
  <c r="S117" i="11" s="1"/>
  <c r="S114" i="11" a="1"/>
  <c r="S114" i="11" s="1"/>
  <c r="S115" i="11" a="1"/>
  <c r="S115" i="11" s="1"/>
  <c r="S112" i="11" a="1"/>
  <c r="S112" i="11" s="1"/>
  <c r="S113" i="11" a="1"/>
  <c r="S113" i="11" s="1"/>
  <c r="S96" i="11" a="1"/>
  <c r="S96" i="11" s="1"/>
  <c r="S76" i="11" a="1"/>
  <c r="S76" i="11" s="1"/>
  <c r="S81" i="11" a="1"/>
  <c r="S81" i="11" s="1"/>
  <c r="S85" i="11" a="1"/>
  <c r="S85" i="11" s="1"/>
  <c r="S89" i="11" a="1"/>
  <c r="S89" i="11" s="1"/>
  <c r="S93" i="11" a="1"/>
  <c r="S93" i="11" s="1"/>
  <c r="S91" i="11" a="1"/>
  <c r="S91" i="11" s="1"/>
  <c r="S95" i="11" a="1"/>
  <c r="S95" i="11" s="1"/>
  <c r="S77" i="11" a="1"/>
  <c r="S77" i="11" s="1"/>
  <c r="S82" i="11" a="1"/>
  <c r="S82" i="11" s="1"/>
  <c r="S78" i="11" a="1"/>
  <c r="S78" i="11" s="1"/>
  <c r="S86" i="11" a="1"/>
  <c r="S86" i="11" s="1"/>
  <c r="S90" i="11" a="1"/>
  <c r="S90" i="11" s="1"/>
  <c r="S94" i="11" a="1"/>
  <c r="S94" i="11" s="1"/>
  <c r="S87" i="11" a="1"/>
  <c r="S87" i="11" s="1"/>
  <c r="S83" i="11" a="1"/>
  <c r="S83" i="11" s="1"/>
  <c r="S79" i="11" a="1"/>
  <c r="S79" i="11" s="1"/>
  <c r="S80" i="11" a="1"/>
  <c r="S80" i="11" s="1"/>
  <c r="S84" i="11" a="1"/>
  <c r="S84" i="11" s="1"/>
  <c r="S88" i="11" a="1"/>
  <c r="S88" i="11" s="1"/>
  <c r="S92" i="11" a="1"/>
  <c r="S92" i="11" s="1"/>
  <c r="S109" i="11" a="1"/>
  <c r="S109" i="11" s="1"/>
  <c r="S110" i="11" a="1"/>
  <c r="S110" i="11" s="1"/>
  <c r="S111" i="11" a="1"/>
  <c r="S111" i="11" s="1"/>
  <c r="S107" i="11" a="1"/>
  <c r="S107" i="11" s="1"/>
  <c r="S108" i="11" a="1"/>
  <c r="S108" i="11" s="1"/>
  <c r="S105" i="11" a="1"/>
  <c r="S105" i="11" s="1"/>
  <c r="S106" i="11" a="1"/>
  <c r="S106" i="11" s="1"/>
  <c r="S103" i="11" a="1"/>
  <c r="S103" i="11" s="1"/>
  <c r="S104" i="11" a="1"/>
  <c r="S104" i="11" s="1"/>
  <c r="S101" i="11" a="1"/>
  <c r="S101" i="11" s="1"/>
  <c r="S102" i="11" a="1"/>
  <c r="S102" i="11" s="1"/>
  <c r="S99" i="11" a="1"/>
  <c r="S99" i="11" s="1"/>
  <c r="S100" i="11" a="1"/>
  <c r="S100" i="11" s="1"/>
  <c r="S97" i="11" a="1"/>
  <c r="S97" i="11" s="1"/>
  <c r="S98" i="11" a="1"/>
  <c r="S98" i="11" s="1"/>
  <c r="S74" i="11" a="1"/>
  <c r="S74" i="11" s="1"/>
  <c r="S75" i="11" a="1"/>
  <c r="S75" i="11" s="1"/>
  <c r="S72" i="11" a="1"/>
  <c r="S72" i="11" s="1"/>
  <c r="S73" i="11" a="1"/>
  <c r="S73" i="11" s="1"/>
  <c r="S70" i="11" a="1"/>
  <c r="S70" i="11" s="1"/>
  <c r="S71" i="11" a="1"/>
  <c r="S71" i="11" s="1"/>
  <c r="S68" i="11" a="1"/>
  <c r="S68" i="11" s="1"/>
  <c r="S69" i="11" a="1"/>
  <c r="S69" i="11" s="1"/>
  <c r="S55" i="11" a="1"/>
  <c r="S55" i="11" s="1"/>
  <c r="S59" i="11" a="1"/>
  <c r="S59" i="11" s="1"/>
  <c r="S63" i="11" a="1"/>
  <c r="S63" i="11" s="1"/>
  <c r="S67" i="11" a="1"/>
  <c r="S67" i="11" s="1"/>
  <c r="S61" i="11" a="1"/>
  <c r="S61" i="11" s="1"/>
  <c r="S65" i="11" a="1"/>
  <c r="S65" i="11" s="1"/>
  <c r="S62" i="11" a="1"/>
  <c r="S62" i="11" s="1"/>
  <c r="S56" i="11" a="1"/>
  <c r="S56" i="11" s="1"/>
  <c r="S60" i="11" a="1"/>
  <c r="S60" i="11" s="1"/>
  <c r="S64" i="11" a="1"/>
  <c r="S64" i="11" s="1"/>
  <c r="S57" i="11" a="1"/>
  <c r="S57" i="11" s="1"/>
  <c r="S58" i="11" a="1"/>
  <c r="S58" i="11" s="1"/>
  <c r="S66" i="11" a="1"/>
  <c r="S66" i="11" s="1"/>
  <c r="S54" i="11" a="1"/>
  <c r="S54" i="11" s="1"/>
  <c r="S47" i="11" a="1"/>
  <c r="S47" i="11" s="1"/>
  <c r="S53" i="11" a="1"/>
  <c r="S53" i="11" s="1"/>
  <c r="S52" i="11" a="1"/>
  <c r="S52" i="11" s="1"/>
  <c r="S50" i="11" a="1"/>
  <c r="S50" i="11" s="1"/>
  <c r="S49" i="11" a="1"/>
  <c r="S49" i="11" s="1"/>
  <c r="S48" i="11" a="1"/>
  <c r="S48" i="11" s="1"/>
  <c r="S51" i="11" a="1"/>
  <c r="S51" i="11" s="1"/>
  <c r="S46" i="11" a="1"/>
  <c r="S46" i="11" s="1"/>
  <c r="S45" i="11" a="1"/>
  <c r="S45" i="11" s="1"/>
  <c r="W27" i="11"/>
  <c r="W28" i="11"/>
  <c r="W24" i="11"/>
  <c r="W25" i="11"/>
  <c r="W26" i="11"/>
  <c r="S44" i="11" a="1"/>
  <c r="S44" i="11" s="1"/>
  <c r="W21" i="11"/>
  <c r="W22" i="11"/>
  <c r="W23" i="11"/>
  <c r="W10" i="11"/>
  <c r="W20" i="11"/>
  <c r="V9" i="11"/>
  <c r="W9" i="11"/>
  <c r="V10" i="11"/>
  <c r="V11" i="11"/>
  <c r="W11" i="11"/>
  <c r="V12" i="11"/>
  <c r="W12" i="11"/>
  <c r="V13" i="11"/>
  <c r="W13" i="11"/>
  <c r="V14" i="11"/>
  <c r="W14" i="11"/>
  <c r="V15" i="11"/>
  <c r="W15" i="11"/>
  <c r="V16" i="11"/>
  <c r="W16" i="11"/>
  <c r="V17" i="11"/>
  <c r="W19" i="11"/>
  <c r="S42" i="11" l="1" a="1"/>
  <c r="S42" i="11" s="1"/>
  <c r="S43" i="11" a="1"/>
  <c r="S43" i="11" s="1"/>
  <c r="S40" i="11" a="1"/>
  <c r="S40" i="11" s="1"/>
  <c r="S41" i="11" a="1"/>
  <c r="S41" i="11" s="1"/>
  <c r="S39" i="11" a="1"/>
  <c r="S39" i="11" s="1"/>
  <c r="S33" i="11" a="1"/>
  <c r="S33" i="11" s="1"/>
  <c r="S38" i="11" a="1"/>
  <c r="S38" i="11" s="1"/>
  <c r="S36" i="11" a="1"/>
  <c r="S36" i="11" s="1"/>
  <c r="S35" i="11" a="1"/>
  <c r="S35" i="11" s="1"/>
  <c r="S37" i="11" a="1"/>
  <c r="S37" i="11" s="1"/>
  <c r="S32" i="11" a="1"/>
  <c r="S32" i="11" s="1"/>
  <c r="S34" i="11" a="1"/>
  <c r="S34" i="11" s="1"/>
  <c r="S30" i="11" a="1"/>
  <c r="S30" i="11" s="1"/>
  <c r="S31" i="11" a="1"/>
  <c r="S31" i="11" s="1"/>
  <c r="S27" i="11" a="1"/>
  <c r="S27" i="11" s="1"/>
  <c r="S29" i="11" a="1"/>
  <c r="S29" i="11" s="1"/>
  <c r="S28" i="11" a="1"/>
  <c r="S28" i="11" s="1"/>
  <c r="S11" i="11" a="1"/>
  <c r="S11" i="11" s="1"/>
  <c r="S26" i="11" a="1"/>
  <c r="S26" i="11" s="1"/>
  <c r="S24" i="11" a="1"/>
  <c r="S24" i="11" s="1"/>
  <c r="S25" i="11" a="1"/>
  <c r="S25" i="11" s="1"/>
  <c r="S23" i="11" a="1"/>
  <c r="S23" i="11" s="1"/>
  <c r="S22" i="11" a="1"/>
  <c r="S22" i="11" s="1"/>
  <c r="S21" i="11" a="1"/>
  <c r="S21" i="11" s="1"/>
  <c r="S20" i="11" a="1"/>
  <c r="S20" i="11" s="1"/>
  <c r="S19" i="11" a="1"/>
  <c r="S19" i="11" s="1"/>
  <c r="S18" i="11" a="1"/>
  <c r="S18" i="11" s="1"/>
  <c r="S17" i="11" a="1"/>
  <c r="S17" i="11" s="1"/>
  <c r="S16" i="11" a="1"/>
  <c r="S16" i="11" s="1"/>
  <c r="S15" i="11" a="1"/>
  <c r="S15" i="11" s="1"/>
  <c r="S14" i="11" a="1"/>
  <c r="S14" i="11" s="1"/>
  <c r="S13" i="11" a="1"/>
  <c r="S13" i="11" s="1"/>
  <c r="S12" i="11" a="1"/>
  <c r="S12" i="11" s="1"/>
  <c r="W4" i="11" l="1"/>
  <c r="W5" i="11"/>
  <c r="W6" i="11"/>
  <c r="W7" i="11"/>
  <c r="W8" i="11"/>
  <c r="V7" i="11"/>
  <c r="V8" i="11"/>
  <c r="S4" i="11" a="1"/>
  <c r="S4" i="11" s="1"/>
  <c r="V4" i="11"/>
  <c r="V5" i="11"/>
  <c r="V6" i="11"/>
  <c r="V3" i="11"/>
  <c r="W3" i="11"/>
  <c r="B82" i="14"/>
  <c r="B81" i="14"/>
  <c r="B80" i="14"/>
  <c r="B79" i="14"/>
  <c r="B78" i="14"/>
  <c r="B77" i="14"/>
  <c r="B76" i="14"/>
  <c r="B75" i="14"/>
  <c r="B74" i="14"/>
  <c r="B73" i="14"/>
  <c r="B72" i="14"/>
  <c r="B71" i="14"/>
  <c r="B70" i="14"/>
  <c r="B69" i="14"/>
  <c r="B68" i="14"/>
  <c r="B67" i="14"/>
  <c r="B66" i="14"/>
  <c r="B65" i="14"/>
  <c r="B64" i="14"/>
  <c r="B63" i="14"/>
  <c r="B62" i="14"/>
  <c r="B61" i="14"/>
  <c r="B60" i="14"/>
  <c r="B59" i="14"/>
  <c r="B58" i="14"/>
  <c r="B57" i="14"/>
  <c r="B56" i="14"/>
  <c r="B55" i="14"/>
  <c r="B54" i="14"/>
  <c r="B53" i="14"/>
  <c r="B52" i="14"/>
  <c r="B51" i="14"/>
  <c r="B50" i="14"/>
  <c r="B49" i="14"/>
  <c r="B48" i="14"/>
  <c r="B47" i="14"/>
  <c r="B46" i="14"/>
  <c r="B45" i="14"/>
  <c r="B44" i="14"/>
  <c r="B43" i="14"/>
  <c r="B42" i="14"/>
  <c r="B41" i="14"/>
  <c r="B40" i="14"/>
  <c r="B39" i="14"/>
  <c r="B38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8" i="14"/>
  <c r="B7" i="14"/>
  <c r="B6" i="14"/>
  <c r="B5" i="14"/>
  <c r="B4" i="14"/>
  <c r="B3" i="14"/>
  <c r="B2" i="14"/>
  <c r="B1" i="14"/>
  <c r="S10" i="11" l="1" a="1"/>
  <c r="S10" i="11" s="1"/>
  <c r="S9" i="11" a="1"/>
  <c r="S9" i="11" s="1"/>
  <c r="S8" i="11" a="1"/>
  <c r="S8" i="11" s="1"/>
  <c r="S7" i="11" a="1"/>
  <c r="S7" i="11" s="1"/>
  <c r="S5" i="11" a="1"/>
  <c r="S5" i="11" s="1"/>
  <c r="S6" i="11" a="1"/>
  <c r="S6" i="11" s="1"/>
  <c r="S3" i="11" a="1"/>
  <c r="S3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<sst xmlns="http://schemas.openxmlformats.org/spreadsheetml/2006/main" count="1439" uniqueCount="525">
  <si>
    <t>Ação</t>
  </si>
  <si>
    <t>Origem</t>
  </si>
  <si>
    <t>TAG</t>
  </si>
  <si>
    <t>ATIVO</t>
  </si>
  <si>
    <t>Componente</t>
  </si>
  <si>
    <t>Anomalia</t>
  </si>
  <si>
    <t>Criticidade</t>
  </si>
  <si>
    <t>Como resolver ação?</t>
  </si>
  <si>
    <t>Ordem de serviço</t>
  </si>
  <si>
    <t>Especialidade</t>
  </si>
  <si>
    <t>Responsável</t>
  </si>
  <si>
    <t>Data de criação da ação</t>
  </si>
  <si>
    <t>Programado</t>
  </si>
  <si>
    <t>Reprogramado</t>
  </si>
  <si>
    <t>Realizado</t>
  </si>
  <si>
    <t>STATUS</t>
  </si>
  <si>
    <t>Ganho</t>
  </si>
  <si>
    <t>Observações</t>
  </si>
  <si>
    <t>Quinzena</t>
  </si>
  <si>
    <t>Quinzena (Realizado)</t>
  </si>
  <si>
    <t>Manutenção</t>
  </si>
  <si>
    <t>P02-MR-01</t>
  </si>
  <si>
    <t>MISTURADOR ROTATIVO</t>
  </si>
  <si>
    <t>CILINDRO</t>
  </si>
  <si>
    <t>Troca de Cilindro</t>
  </si>
  <si>
    <t>Média</t>
  </si>
  <si>
    <t>Apurar informações da parada</t>
  </si>
  <si>
    <t>Marlon</t>
  </si>
  <si>
    <t>P02-MR-02</t>
  </si>
  <si>
    <t>Realizar a investigação de análise de falha</t>
  </si>
  <si>
    <t>Julia</t>
  </si>
  <si>
    <t>P03-SP-01/02</t>
  </si>
  <si>
    <t>SILO PULMÃO 01/02</t>
  </si>
  <si>
    <t>-</t>
  </si>
  <si>
    <t>SOLDA NA CAIXA DO BAG</t>
  </si>
  <si>
    <t>P02-BL-01</t>
  </si>
  <si>
    <t>BALANÇA DE DOSAGEM 01</t>
  </si>
  <si>
    <t>MANCAL</t>
  </si>
  <si>
    <t xml:space="preserve">Quebra de mancal </t>
  </si>
  <si>
    <t>P02-BC-01</t>
  </si>
  <si>
    <t>BALANÇA DE CARREGAMENTO 01</t>
  </si>
  <si>
    <t>Indicador em falta</t>
  </si>
  <si>
    <t>Incrementar indicador de cumprimento dos planos de manutenção</t>
  </si>
  <si>
    <t>Renan</t>
  </si>
  <si>
    <t>Alto nivel de oleo consumido por produção</t>
  </si>
  <si>
    <t>Alta</t>
  </si>
  <si>
    <t>Realizar a analise de falha do consumo alto de oleo</t>
  </si>
  <si>
    <t>Cutrim/Julia</t>
  </si>
  <si>
    <t>Preenchimento incorreto da planilha de produção de forma a impactar a manutenção</t>
  </si>
  <si>
    <t>Treinamento do POP e preenchimento correto da planilha de produção</t>
  </si>
  <si>
    <t xml:space="preserve">P02-MR-01				</t>
  </si>
  <si>
    <t>Realizar  a troca do reparo</t>
  </si>
  <si>
    <t>Leonidas</t>
  </si>
  <si>
    <t>Realizar a compra da coifa para proteger o equipamento</t>
  </si>
  <si>
    <t>Implementar na inspeção do mantenedor a verificação do conjunto lubrifil</t>
  </si>
  <si>
    <t>REVESTIMENTO</t>
  </si>
  <si>
    <t>Realizar a troca definitiva das chapas e cantoneiras</t>
  </si>
  <si>
    <t>Ademir</t>
  </si>
  <si>
    <t>Será realizado na parada de manutenção</t>
  </si>
  <si>
    <t xml:space="preserve">Aplicar revestimento em UHMW </t>
  </si>
  <si>
    <t>Orientar melhor a produção a não utilizar marreta para limpeza do maquinário, mas sim ar comprimido ou o realizar a raspagem</t>
  </si>
  <si>
    <t xml:space="preserve">Atualizar plano de lubrificação quanto à frequencia </t>
  </si>
  <si>
    <t>Dificuldade em abrir a mandíbula</t>
  </si>
  <si>
    <t>Mudança na posição do olhal</t>
  </si>
  <si>
    <t>P02-BL-02</t>
  </si>
  <si>
    <t>BALANÇA DE DOSAGEM 02</t>
  </si>
  <si>
    <t>BALANÇA DE DOSAGEM COM PROBLEMA - NÃO TAVA ABRINDO</t>
  </si>
  <si>
    <t>Verificar com o mecanico do 2 turno o real problema</t>
  </si>
  <si>
    <t>Cutrim</t>
  </si>
  <si>
    <t>Troca de mangueira porem a produção colocou tempo de parada maior</t>
  </si>
  <si>
    <t>P02-DG-01</t>
  </si>
  <si>
    <t>DESIGNADOR GIRATÓRIO</t>
  </si>
  <si>
    <t>MOTORREDUTOR</t>
  </si>
  <si>
    <t>REDUTOR COM AS ROSCAS EXPANADAS DO ACOPLAMENTO</t>
  </si>
  <si>
    <t>Realizar a compra do motorredutor</t>
  </si>
  <si>
    <t>P02-DG-02</t>
  </si>
  <si>
    <t xml:space="preserve">Demora no retorno do setor de compras e do fornecedor </t>
  </si>
  <si>
    <t xml:space="preserve">Cobrar o fornecedor referente a forma construtiva </t>
  </si>
  <si>
    <t>Daniel</t>
  </si>
  <si>
    <t>Reprogramado para o dia 09/01 pois a empresa so retornar dia 09/01</t>
  </si>
  <si>
    <t>Sem acionamentos reservas em estoque</t>
  </si>
  <si>
    <t>Realizar a compra</t>
  </si>
  <si>
    <t>Ação finalizada 2 dias após o prazo devido à necessidade de solicitar o cadastro</t>
  </si>
  <si>
    <t>P01-MO-01</t>
  </si>
  <si>
    <t>MOEGA</t>
  </si>
  <si>
    <t>TUBO DE REJEITO</t>
  </si>
  <si>
    <t>TUBO DE REJEITO DANIFICADO</t>
  </si>
  <si>
    <t>Aplicar a saia de forma paleativa</t>
  </si>
  <si>
    <t>P01-MO-02</t>
  </si>
  <si>
    <t>Aplicar a meia lua e troca do tubo</t>
  </si>
  <si>
    <t>FAB-GER</t>
  </si>
  <si>
    <t>GERADOR</t>
  </si>
  <si>
    <t>TERMOSTATO</t>
  </si>
  <si>
    <t xml:space="preserve">FALTA DE ENERGIA </t>
  </si>
  <si>
    <t>Solicitar que a empresa resoponsável viesse verificar</t>
  </si>
  <si>
    <t>Troca de termostato e testes de funcionamento</t>
  </si>
  <si>
    <t>Abrir SC referente a compra da escada para realizar a atividade</t>
  </si>
  <si>
    <t>Kassio</t>
  </si>
  <si>
    <t>Compra de material de reposição da chave fusível afim de garantir estoque</t>
  </si>
  <si>
    <t>P02-PO-02</t>
  </si>
  <si>
    <t>POSICIONADOR DE BICA</t>
  </si>
  <si>
    <t>Posicionador parando no local incorreto</t>
  </si>
  <si>
    <t>Abrir OS para realizar o ajuste de grau</t>
  </si>
  <si>
    <t>P04</t>
  </si>
  <si>
    <t>PLANTA 04</t>
  </si>
  <si>
    <t>Sem rotina de checklist</t>
  </si>
  <si>
    <t>Criar checklist de inspeção do mecânico</t>
  </si>
  <si>
    <t>P01-SL-01-10</t>
  </si>
  <si>
    <t>SILOS DE DOSAGEM 01-10</t>
  </si>
  <si>
    <t>Sem informações complementares</t>
  </si>
  <si>
    <t>Baixa</t>
  </si>
  <si>
    <t>CONTROLE</t>
  </si>
  <si>
    <t>CONTROLES COM DEFEITO</t>
  </si>
  <si>
    <t>Realizar fluxo de envio para reparo externo</t>
  </si>
  <si>
    <t>P02-P0-02</t>
  </si>
  <si>
    <t>REDUTOR</t>
  </si>
  <si>
    <t>Redutor com defeito</t>
  </si>
  <si>
    <t>Análise de Falha</t>
  </si>
  <si>
    <t>Preenchimento incorreto referente ao tempo de manutenção</t>
  </si>
  <si>
    <t>Realizar treinamento referente ao preenchimento correto do tempo de manutenção</t>
  </si>
  <si>
    <t>P02-EL-01</t>
  </si>
  <si>
    <t>ELEVADOR DE CANECAS 01</t>
  </si>
  <si>
    <t>CORREIA</t>
  </si>
  <si>
    <t>Correia partiu</t>
  </si>
  <si>
    <t>Realizar a análise de falha</t>
  </si>
  <si>
    <t>Realizar reparo e reaplicação da correia</t>
  </si>
  <si>
    <t>Cutrim/Leonidas</t>
  </si>
  <si>
    <t>Realizar a furação prévia da correia</t>
  </si>
  <si>
    <t>OS 006386</t>
  </si>
  <si>
    <t xml:space="preserve">Realizar a troca da correia por uma com maior resistência de acordo com a oportunidade </t>
  </si>
  <si>
    <t>Realizar o reforço no piso, base de estrutura do acionamento</t>
  </si>
  <si>
    <t>Contratar a empresa o alinhamento a laser</t>
  </si>
  <si>
    <t>Enviar controles para reparo externo</t>
  </si>
  <si>
    <t>Daniel/Edson</t>
  </si>
  <si>
    <t>P01-EL-01</t>
  </si>
  <si>
    <t>Revestimento da caída comprometido</t>
  </si>
  <si>
    <t>Avaliar necessidade de troca do revestimento</t>
  </si>
  <si>
    <t>P03-CT-01</t>
  </si>
  <si>
    <t>CORREIA TRANSPORTADORA</t>
  </si>
  <si>
    <t>Curto no cabo de energia do motor</t>
  </si>
  <si>
    <t>Avaliar vedação da caixa de ligação do motor</t>
  </si>
  <si>
    <t>Queda de energia pela rede</t>
  </si>
  <si>
    <t>Trocar porta/bastão fusível</t>
  </si>
  <si>
    <t>Cadastrar e comprar porta/bastão fusível</t>
  </si>
  <si>
    <t>Kássio</t>
  </si>
  <si>
    <t>Tornar porta/bastão fusível estocável</t>
  </si>
  <si>
    <t>P02-EL-02</t>
  </si>
  <si>
    <t>ELEVADOR DE CANECAS 02</t>
  </si>
  <si>
    <t>Realizar análise de falha</t>
  </si>
  <si>
    <t>PCM/Execução</t>
  </si>
  <si>
    <t>OS 006385</t>
  </si>
  <si>
    <t>Trocar o revestimento por oportunidade</t>
  </si>
  <si>
    <t xml:space="preserve">Cutirm </t>
  </si>
  <si>
    <t>Criar um plano de inspeção para o revestimento</t>
  </si>
  <si>
    <t>Relizar treinamento no check liste de inspeção do revestimento</t>
  </si>
  <si>
    <t xml:space="preserve">Cutrim/Ademir </t>
  </si>
  <si>
    <t>Fazer inspenção do revestimento dos demais elavadores da planta 1 e 3</t>
  </si>
  <si>
    <t>OS 006407</t>
  </si>
  <si>
    <t>RNC QUALIDADE</t>
  </si>
  <si>
    <t>P02-EL-03</t>
  </si>
  <si>
    <t xml:space="preserve">Solicitar FISPQ do aditivo da ADFERT </t>
  </si>
  <si>
    <t>RNC SESMT</t>
  </si>
  <si>
    <t>P03-BC-01</t>
  </si>
  <si>
    <t>BALANÇA</t>
  </si>
  <si>
    <t>Sobrecarga na balança</t>
  </si>
  <si>
    <t>Fazer avaliação do problema ocasionado para maiores detalhes</t>
  </si>
  <si>
    <t>Ademir/Itanel</t>
  </si>
  <si>
    <t>EVIDÊNCIA OS 6441</t>
  </si>
  <si>
    <t>ANALISE DE FALHA</t>
  </si>
  <si>
    <t>P01-BC-02</t>
  </si>
  <si>
    <t>BALANÇA DE CARREGAMENTO 02</t>
  </si>
  <si>
    <t>ANALISE DE DESVIO</t>
  </si>
  <si>
    <t>Realizar troca do elo fusível</t>
  </si>
  <si>
    <t>Cutrim/Maia</t>
  </si>
  <si>
    <t>INSPEÇÃO</t>
  </si>
  <si>
    <t>Disjuntor</t>
  </si>
  <si>
    <t>Gerador permeneceu ligado porém o disjuntor desligava derrubando a alimentação de energia</t>
  </si>
  <si>
    <t>Avaliar o painel elétrico e a alimentação do disjuntor geral do barramento</t>
  </si>
  <si>
    <t>P01</t>
  </si>
  <si>
    <t>Guarda corpo</t>
  </si>
  <si>
    <t>Guarda-corpo localizado próximo ao misturador encontra-se danificado .</t>
  </si>
  <si>
    <t>Será aberta O.S de soldagem para resolução do problema</t>
  </si>
  <si>
    <t>Itanel</t>
  </si>
  <si>
    <t>Guarda-corpo localizado na Planta 01 encontra-se danificado. Não atendendo aos requisitos da NR 18.</t>
  </si>
  <si>
    <t>P01-MC-01</t>
  </si>
  <si>
    <t>Escada</t>
  </si>
  <si>
    <t>Degrau da escada localizado próximo ao misturador da Planta 01 encontra-se danificado.Não atendendo aos requisitos da NR 18 item 18.8 e 18.8.6.1</t>
  </si>
  <si>
    <t>Realizar reparo no degrau</t>
  </si>
  <si>
    <t>Piso</t>
  </si>
  <si>
    <t>Piso danificado com aberturas oferecendo risco de acidentes com os colaboradores que acessam o local Planta 01.</t>
  </si>
  <si>
    <t>Relizar confeccção e instalação de piso</t>
  </si>
  <si>
    <t>P01-DG-01</t>
  </si>
  <si>
    <t xml:space="preserve">Piso danificado com aberturas oferecendo risco de acidentes com os colaboradores que acessam o local. </t>
  </si>
  <si>
    <t>Realizar reparo no piso</t>
  </si>
  <si>
    <t>Acesso planta 1 e 3</t>
  </si>
  <si>
    <t>Corrimão</t>
  </si>
  <si>
    <t>Corrimão de acesso a planta 1/3 danificado apresentando risco de corte com pontas cortantes.</t>
  </si>
  <si>
    <t>Estrutura</t>
  </si>
  <si>
    <t>Cruzeta de amarração da estrutura danificada (Próximo a balança de carregamento) localizada na planta 02.</t>
  </si>
  <si>
    <t>Realizar reparo na cruzeta</t>
  </si>
  <si>
    <t>PL02</t>
  </si>
  <si>
    <t>SALA DE DOSAGEM</t>
  </si>
  <si>
    <t>Quadro elétrico</t>
  </si>
  <si>
    <t>Quadro elétrico sem tampa de proteção (sala de dosagem).</t>
  </si>
  <si>
    <t>Colocar tampa no quadro elétrico</t>
  </si>
  <si>
    <t xml:space="preserve">Guarda-corpo danificado na escadaria de acesso ao designador </t>
  </si>
  <si>
    <t>Guarda-corpo danificado próximo ao designador não atendendo aos requisitos da NR 18.</t>
  </si>
  <si>
    <t>Piso danificado com aberturas oferecendo risco de acidentes com os colaboradores que acessam o local.(Próximo a balança)</t>
  </si>
  <si>
    <t>ÁREA PLANTA 02</t>
  </si>
  <si>
    <t>Refletor</t>
  </si>
  <si>
    <t>Ausência de iluminação na planta 02 dificultando a visibilidade durante a atividades.</t>
  </si>
  <si>
    <t>Instalar refletor no local</t>
  </si>
  <si>
    <t>Suportes de sustentação da tubulação elétrica encontram-se quebrados .</t>
  </si>
  <si>
    <t>Correção da infra elétrica</t>
  </si>
  <si>
    <t>PL03</t>
  </si>
  <si>
    <t>Mancal</t>
  </si>
  <si>
    <t>Falta de proteção do motor do elevador da planta 03</t>
  </si>
  <si>
    <t>Abrir O.S para aplicação da proteção</t>
  </si>
  <si>
    <t>local correto de aplicação é o mancal oposto área superior</t>
  </si>
  <si>
    <t>Cruzeta de amarração da estrutura danificada</t>
  </si>
  <si>
    <t xml:space="preserve">Guarda-corpo danificado e com presença de corrosão nas partes </t>
  </si>
  <si>
    <t>ÁREA PLANTA 03</t>
  </si>
  <si>
    <t>Quadro de tomadas sem identificação de (Perigo  eletricidade somente pessoal autorizado)</t>
  </si>
  <si>
    <t>Realizar identificação do quadro</t>
  </si>
  <si>
    <t>P03-MG-01</t>
  </si>
  <si>
    <t>Degrau da escada da moega da planta 03 danificada.</t>
  </si>
  <si>
    <t>DES</t>
  </si>
  <si>
    <t>DESCARGA</t>
  </si>
  <si>
    <t>Tubulação eletrica</t>
  </si>
  <si>
    <t>Tubulação elétrica com ausência de suporte</t>
  </si>
  <si>
    <t xml:space="preserve">Colocar fixação de suporte da tubulação elétrica. </t>
  </si>
  <si>
    <t>DES-CT-01</t>
  </si>
  <si>
    <t>CT01</t>
  </si>
  <si>
    <t>Estrutura de sustentação  da escada com alto grau de corrosão.</t>
  </si>
  <si>
    <t>Realizar reparo nas estruturas</t>
  </si>
  <si>
    <t>Levantamento do material necessário para solicitação de compra</t>
  </si>
  <si>
    <t>DESCARGA ÁREA ACESSO</t>
  </si>
  <si>
    <t>Estruturas metálicas com presença de corrosão após o jateamento.</t>
  </si>
  <si>
    <t>Realizado na parada de manuntenção</t>
  </si>
  <si>
    <t xml:space="preserve">DESCARGA CT 01 </t>
  </si>
  <si>
    <t xml:space="preserve">ESCADA DE ACESSO DESCARGA CT 03 </t>
  </si>
  <si>
    <t>Refletores com defeito da área da CT03. (Somente 2 com defeito).</t>
  </si>
  <si>
    <t>Realizar a troca dos refletores com defeito</t>
  </si>
  <si>
    <t>DESCARGA ÁREA CT 03</t>
  </si>
  <si>
    <t xml:space="preserve">Ausência de suporte para mangueira de ar comprimido </t>
  </si>
  <si>
    <t>Instalar suporte para mangueira de ar comprimido</t>
  </si>
  <si>
    <t>Guarda corpo danificado da CT 03 com risco de queda e corte.</t>
  </si>
  <si>
    <t xml:space="preserve">Partes do guarda corpo danificadas com pontas cortantes </t>
  </si>
  <si>
    <t xml:space="preserve">CASA DE ÓLEO </t>
  </si>
  <si>
    <t>Quadro elétrico de acionamento da casa do compressor com a porta amarrada com cordas .</t>
  </si>
  <si>
    <t>Realizar troca do quadro</t>
  </si>
  <si>
    <t>ÁREA DO BEBEDOURO</t>
  </si>
  <si>
    <t xml:space="preserve">Ausência de iluminação na área do bebedouro.   </t>
  </si>
  <si>
    <t>Instalar lâmpada no local</t>
  </si>
  <si>
    <t>POSTE ATRAS DO PREDIO ADM</t>
  </si>
  <si>
    <t xml:space="preserve">Fiação exposta  </t>
  </si>
  <si>
    <t>Realizar organização dos fios</t>
  </si>
  <si>
    <t>DIQUE DE LAVAGEM</t>
  </si>
  <si>
    <t>Tomada</t>
  </si>
  <si>
    <t>Tomada sendo amarrada em local  inadequada para uso.</t>
  </si>
  <si>
    <t>Relizar fixação da tomada em local adequado</t>
  </si>
  <si>
    <t>Realizar  limpeza do barramento do disjuntor e reaperto dos cabos</t>
  </si>
  <si>
    <t>alta</t>
  </si>
  <si>
    <t>Realizar teste com carga</t>
  </si>
  <si>
    <t>Fazer termografia dos 2 quadros</t>
  </si>
  <si>
    <t>FAB</t>
  </si>
  <si>
    <t>Bastão fusível</t>
  </si>
  <si>
    <t>Fusível</t>
  </si>
  <si>
    <t>Fusível queimou devido queda de energia</t>
  </si>
  <si>
    <t xml:space="preserve">Trocar para raio por conta de sujeira e fuga de energia </t>
  </si>
  <si>
    <t xml:space="preserve">Argonio/Itanel </t>
  </si>
  <si>
    <t>Cobrar o orçamento para troca do para raio</t>
  </si>
  <si>
    <t>Avaliar necessidade de plano para lavagem dos fusíveis</t>
  </si>
  <si>
    <t>Disjuntor do gerador desarmou e foi necessário desligar a descarga para manter as plantas ligadas</t>
  </si>
  <si>
    <t>Avaliar detalhes de causa do desarme do disjuntor</t>
  </si>
  <si>
    <t>Solicitar cadastro da chave seletora</t>
  </si>
  <si>
    <t>Solicitar compra da chave seletora</t>
  </si>
  <si>
    <t>Relizar análise de falha</t>
  </si>
  <si>
    <t>Cutrim/Ademir/Itanel</t>
  </si>
  <si>
    <t>Fazer avaliação detalhada do causa do problema</t>
  </si>
  <si>
    <t>Regulagem do disjuntor</t>
  </si>
  <si>
    <t xml:space="preserve">Limpeza e aperto dos cabos </t>
  </si>
  <si>
    <t xml:space="preserve">P01-MC-01       </t>
  </si>
  <si>
    <t>Misturador</t>
  </si>
  <si>
    <t>Obstrução na caída</t>
  </si>
  <si>
    <t>Criar plano de limpeza para operação</t>
  </si>
  <si>
    <t>Já existe um cronograma da operação para limpeza em todo início de turno, será implatado mais um check entre os os turnos para mais eficácia na limpeza</t>
  </si>
  <si>
    <t>MOINHO</t>
  </si>
  <si>
    <t>Duto do Moinho</t>
  </si>
  <si>
    <t>Duto do moinho obstruído</t>
  </si>
  <si>
    <t>Avaliação  do travamentodo moinho</t>
  </si>
  <si>
    <t>Cutrim/Ademir</t>
  </si>
  <si>
    <t xml:space="preserve">COMPRESSOR </t>
  </si>
  <si>
    <t>COMPRESSOR</t>
  </si>
  <si>
    <t>Compressor desarmando</t>
  </si>
  <si>
    <t>Limpeza dos filtros e completar nível de óleo</t>
  </si>
  <si>
    <t>Compra de óleo do motor e solitar para estoque</t>
  </si>
  <si>
    <t>Itanel/Julia</t>
  </si>
  <si>
    <t>Solicitar vistia da Atlas para troca da Valvula de alívio</t>
  </si>
  <si>
    <t>Solicitar a Atlas plano de manutenção de todos os compressores para retomada dos planos</t>
  </si>
  <si>
    <t>Realizar plano limpeza semanal nos compressores</t>
  </si>
  <si>
    <t>Itanel/Ademir/Cutrim</t>
  </si>
  <si>
    <t>Balança</t>
  </si>
  <si>
    <t>Quebra do suporte do mancal</t>
  </si>
  <si>
    <t>ALta</t>
  </si>
  <si>
    <t>Treinamento de limpeza com os operadores</t>
  </si>
  <si>
    <t>Operação</t>
  </si>
  <si>
    <t>Blança de carregamento</t>
  </si>
  <si>
    <t>Celula de carga</t>
  </si>
  <si>
    <t>Celula de carga danificada</t>
  </si>
  <si>
    <t>Atrasado Devido a demanda de atividades da parada de manunteção</t>
  </si>
  <si>
    <t>P01-PR1-01</t>
  </si>
  <si>
    <t>Peneira Rotatória</t>
  </si>
  <si>
    <t>Tela da peneira</t>
  </si>
  <si>
    <t>Peneira rotatória com rasgos</t>
  </si>
  <si>
    <t>Troca da tela peneira</t>
  </si>
  <si>
    <t>Ademir/Cutrim</t>
  </si>
  <si>
    <t>Será trocada na parada de manutenção previsão para 25/03</t>
  </si>
  <si>
    <t>P02-PR1-01</t>
  </si>
  <si>
    <t>MISTURADOR CONTÍNUO</t>
  </si>
  <si>
    <t>Comporta do misturador</t>
  </si>
  <si>
    <t>Misturador não fecha 100%</t>
  </si>
  <si>
    <t>Ajustar a comporta do misturador</t>
  </si>
  <si>
    <t>P02</t>
  </si>
  <si>
    <t>Balança de carregamento</t>
  </si>
  <si>
    <t>Cruzeta de amarração</t>
  </si>
  <si>
    <t>Cruzeta de amarração da estrutura danificada (Próximo a balança de carregamento)</t>
  </si>
  <si>
    <t>Reparo na cruzeta de amarração na estrutura</t>
  </si>
  <si>
    <t>Estrutura planta 02</t>
  </si>
  <si>
    <t>Degrau da escada</t>
  </si>
  <si>
    <t xml:space="preserve">Degrau da escada localizado da Planta 02 encontra-se danificado. </t>
  </si>
  <si>
    <t>Reparo no degrau da escada</t>
  </si>
  <si>
    <t>P03</t>
  </si>
  <si>
    <t>Estrutura planta 03</t>
  </si>
  <si>
    <t>Guarda-corpo danificado e com presença de corrosão nas partes</t>
  </si>
  <si>
    <t>Reparo no guarda corpo</t>
  </si>
  <si>
    <t>Moega</t>
  </si>
  <si>
    <t>Piso e escada</t>
  </si>
  <si>
    <t>Piso e escada da moega da planta 03 encontra-se  danificado e com presença de corrosão nas parte.</t>
  </si>
  <si>
    <t>Reparo no piso e escada</t>
  </si>
  <si>
    <t>Calibragem das balanças foi necessário trocar as celulas de carga</t>
  </si>
  <si>
    <t>Realizar plano de ação</t>
  </si>
  <si>
    <t>P02-BC-02</t>
  </si>
  <si>
    <t>Trocar seletor de baypass dos sensores de todos os elevadores por seletor com chave</t>
  </si>
  <si>
    <t>Necessário plantas paradas, será realizado no domingo 28/07</t>
  </si>
  <si>
    <t>P02-EL1</t>
  </si>
  <si>
    <t>Elevador de canecas</t>
  </si>
  <si>
    <t>Elevador</t>
  </si>
  <si>
    <t>Demora no alinhamento e lubrificação dos elevadores</t>
  </si>
  <si>
    <t>Efetivar o uso do livro de ocorrencias para melhor alinhamento entre menutenção e produção</t>
  </si>
  <si>
    <t>Cutrim/lider produção</t>
  </si>
  <si>
    <t>P03-EL1</t>
  </si>
  <si>
    <t>Realizar instalação do quadro para uso manual</t>
  </si>
  <si>
    <t>Kassio/Rogerio</t>
  </si>
  <si>
    <t>Relizar montagem e instalação do leito</t>
  </si>
  <si>
    <t>Previsão de término 26/07</t>
  </si>
  <si>
    <t>Passagem de cabos da planta 01 e 03</t>
  </si>
  <si>
    <t>Instalação do cabo de comando</t>
  </si>
  <si>
    <t>Instalar base relé para comando</t>
  </si>
  <si>
    <t>FÁBRICA</t>
  </si>
  <si>
    <t>Após oscilação de anergia gerador não entrou automátio por conta de problema na chave de transferência</t>
  </si>
  <si>
    <t>Revisão do quadro da chave de transferência</t>
  </si>
  <si>
    <t>Kassio/Rogério</t>
  </si>
  <si>
    <t>Simulação de queda de rede para teste de entrada do gerador</t>
  </si>
  <si>
    <t>Simulação precisa ser realizada com planta desligada</t>
  </si>
  <si>
    <t>Demarcação padrão nos silos de dosagem e balança de carregamento</t>
  </si>
  <si>
    <t>Faremos via Ordem de serviço para semana que vem</t>
  </si>
  <si>
    <t>Ajuste dos cilindros da planta 01 área dosagem</t>
  </si>
  <si>
    <t xml:space="preserve">Suporte das celulas de cargas </t>
  </si>
  <si>
    <t>Pedido aprovado pendente prazo de entrega</t>
  </si>
  <si>
    <t>Contrato do plano de manutenção das balanças de fluxo</t>
  </si>
  <si>
    <t>Primeiro contrato com Imperatriz balanças rejeitado devido histórico da empresa negativo. Aguardando retorno de outras empresas</t>
  </si>
  <si>
    <t>Retirada dos sopradores para melhoria com Emani</t>
  </si>
  <si>
    <t>Retirada da caixa</t>
  </si>
  <si>
    <t>Ganchos para os BAGS</t>
  </si>
  <si>
    <t>Elasticos já disponiveis, pendente confeccção dos ganchos</t>
  </si>
  <si>
    <t>Solicitar cadastro dos ganchos</t>
  </si>
  <si>
    <t>Realizar compra dos ganchos</t>
  </si>
  <si>
    <t>Teste dos ganchos</t>
  </si>
  <si>
    <t>Pendente aplicação</t>
  </si>
  <si>
    <t xml:space="preserve">Troller das plataformas </t>
  </si>
  <si>
    <t>Itanel/Ademir</t>
  </si>
  <si>
    <t>QR codes das máquinas</t>
  </si>
  <si>
    <t>Agendado com equipe do maketing confecção do vídeo para o dia 06/01</t>
  </si>
  <si>
    <t>Elevador 01</t>
  </si>
  <si>
    <t>Chaveta do acoplamento</t>
  </si>
  <si>
    <t>Quebra da chaveta do acoplamento</t>
  </si>
  <si>
    <t>Criar plano de manutenção para troca do rolamento do pinhão</t>
  </si>
  <si>
    <t>Cadastrado, previsto pra inicio após parada de manutenção</t>
  </si>
  <si>
    <t>Avaliar  rolamentos do pinhão dos demais elevadores</t>
  </si>
  <si>
    <t>Levantamento de materiais necessários</t>
  </si>
  <si>
    <t xml:space="preserve">Solicitar compra do material </t>
  </si>
  <si>
    <t>Solicitar compra do material</t>
  </si>
  <si>
    <t>PL01-DG-01</t>
  </si>
  <si>
    <t>DESIGNADOR PLANTA 01</t>
  </si>
  <si>
    <t>Inversor</t>
  </si>
  <si>
    <t>Queima do inversor de frequência do designador da plnta 01</t>
  </si>
  <si>
    <t>Aplicar trinco novo no quadro</t>
  </si>
  <si>
    <t xml:space="preserve">Teste do inversor </t>
  </si>
  <si>
    <t>testes com soprador para bag</t>
  </si>
  <si>
    <t>Itanel/Cutrim</t>
  </si>
  <si>
    <t>Teste realizado, pendente envio do soprador para aplicação</t>
  </si>
  <si>
    <t>Instalação das vedações para testes</t>
  </si>
  <si>
    <t>SC para compra dos materiais da subestação</t>
  </si>
  <si>
    <t>Melhorias do mês de outubro</t>
  </si>
  <si>
    <t>Confeccção dos ganchos para os elasticos</t>
  </si>
  <si>
    <t>Buscar empresas para parada de manutenção</t>
  </si>
  <si>
    <t>2 orçamentos recebidos, foram solicitados mais 3</t>
  </si>
  <si>
    <t>Finalizar processo de compras da parada de manutenção</t>
  </si>
  <si>
    <t>Itanel/Julia/Ademir</t>
  </si>
  <si>
    <t>Alinhamento com controladoria da meta de planos preventivos</t>
  </si>
  <si>
    <t>Teste com cilindro do compressor da ensacadeira</t>
  </si>
  <si>
    <t>Teste realizado porém não aprovado</t>
  </si>
  <si>
    <t>Programar com jaime Teste na fábrica do soprador</t>
  </si>
  <si>
    <t>Cutrim/Itanel</t>
  </si>
  <si>
    <t>Marcar entrevistas para mao de obra da parada</t>
  </si>
  <si>
    <t>Acompanhamento das compras da parada</t>
  </si>
  <si>
    <t>Pendente somente cilindros previsão para próxima semana</t>
  </si>
  <si>
    <t>Automação da flauta da peneira</t>
  </si>
  <si>
    <t>Rogério</t>
  </si>
  <si>
    <t>Manutenção do gerador da DCML</t>
  </si>
  <si>
    <t>Agendamento solicitado</t>
  </si>
  <si>
    <t>Lavagem do gerador</t>
  </si>
  <si>
    <t>Rogerio/Cutrim</t>
  </si>
  <si>
    <t>Alimentação dos containers pelo quadro de força da guarita</t>
  </si>
  <si>
    <t>Troca do poste proximo a oficina de máquinas</t>
  </si>
  <si>
    <t>Desligamento geral 19/01</t>
  </si>
  <si>
    <t>Troca das muflas do trafu da subestação</t>
  </si>
  <si>
    <t>Rogerio</t>
  </si>
  <si>
    <t>Teste com soprador na planta</t>
  </si>
  <si>
    <t>Verificar empresa com bicos reserva</t>
  </si>
  <si>
    <t xml:space="preserve">Empresa não encontrada </t>
  </si>
  <si>
    <t>Buscar junto ao fabricante problemas recorrentes com redutores dos posicionadores de bica</t>
  </si>
  <si>
    <t>Será enviada envidências da ineficência dos resutores para envio dos novos pelo fornecedor</t>
  </si>
  <si>
    <t>Iniciar entrevistas para mao de obra da parada</t>
  </si>
  <si>
    <t>Candidatos selecionados e enviados para as empresas para inicio de processo de contratação</t>
  </si>
  <si>
    <t>Envio de evidências da ineficiência dos redutores dos posicionadores de bica</t>
  </si>
  <si>
    <t>Criar IP de instalação e parametrização de soft starter</t>
  </si>
  <si>
    <t>Criar IP de instalação e parametrização de Posicionadores da kairos</t>
  </si>
  <si>
    <t>Pendente validação</t>
  </si>
  <si>
    <t>Criar IP de instalação e parametrização de inversores</t>
  </si>
  <si>
    <t>Pendente revisão</t>
  </si>
  <si>
    <t>Treinar equipe da elétrica no IP de instalação e parametrização de inversores</t>
  </si>
  <si>
    <t>Será feito hoje 07/07</t>
  </si>
  <si>
    <t>Treinar equipe da elétrica no IP de instalação e Posicionadores Kairos</t>
  </si>
  <si>
    <t>Será feito amanhã 08/07</t>
  </si>
  <si>
    <t>Treinar equipe da elétrica no IP de instalação e parametrização de soft starter</t>
  </si>
  <si>
    <t>Rastreabilidade das SS</t>
  </si>
  <si>
    <t>Rastreabilidade das OS</t>
  </si>
  <si>
    <t>Criar indicadores de rastreabilidade de SS</t>
  </si>
  <si>
    <t>Criar indicadores de rastreabilidade de OS</t>
  </si>
  <si>
    <t>Criar o indicador de segurança no FMDS</t>
  </si>
  <si>
    <t>Criar plano de manutenção para inspeção dos elevadores</t>
  </si>
  <si>
    <t>Itanel/Edenilson</t>
  </si>
  <si>
    <t>Criação de check list para inspeção dos elevadores</t>
  </si>
  <si>
    <t xml:space="preserve">Projeto do eixo misturador da planta </t>
  </si>
  <si>
    <t>Edenilson</t>
  </si>
  <si>
    <t>Projeto fechado em processo de compra/fabricação</t>
  </si>
  <si>
    <t>Eliminar o vazamento do purgador atual</t>
  </si>
  <si>
    <t>Ademir/Edenilson</t>
  </si>
  <si>
    <t>x</t>
  </si>
  <si>
    <t>Instalação do purgador das plantas</t>
  </si>
  <si>
    <t>Ainda não chegaram, está em rota de entrega - Atualização dia 14/07</t>
  </si>
  <si>
    <t>Atualizar NR13 vasos de pressão da fábrica</t>
  </si>
  <si>
    <t>Orçamentos enivados para avaliação</t>
  </si>
  <si>
    <t>Instalação pulmão planta 02</t>
  </si>
  <si>
    <t>Itanel/Marcos</t>
  </si>
  <si>
    <t>Aproveitar parada da Planta 02 com baixa produção-OS Nº:    Sem piso na parte da planta, sera avaliado na semana 43-Programada para dia 13.11</t>
  </si>
  <si>
    <t>Tendas de fabricação</t>
  </si>
  <si>
    <t>Melhoria de iluminação dos infláveis. Carrinho plataforma/Torre de Iluminação</t>
  </si>
  <si>
    <t>Itanel/Ademir/Marcos/Edenilson</t>
  </si>
  <si>
    <t>Em conversa com uma uma empresa local, foi pedido para trazer um item para realizar o teste Torre de Iluminação. Seguir com a fabricação após empresa local, não quiser emprestar a Torre-Colocar torre para Capex no ciclo 26/27</t>
  </si>
  <si>
    <t>Limpeza da área dos tanques</t>
  </si>
  <si>
    <t>Itane/Cutrim</t>
  </si>
  <si>
    <t>Itens elétrico Planta 04</t>
  </si>
  <si>
    <t>Julia/ Rogerio</t>
  </si>
  <si>
    <t>SC 022655 gerada</t>
  </si>
  <si>
    <t>Compra de itens pneumáticos</t>
  </si>
  <si>
    <t>SC 022645 gerada</t>
  </si>
  <si>
    <t>Instalação de linha de vida móvel</t>
  </si>
  <si>
    <t>Julia/Ademir</t>
  </si>
  <si>
    <t>Após término da manutenção da ensacadeira</t>
  </si>
  <si>
    <t>Avaliação de desmembramento do elevador da Planta 02 da estrutura de concreto</t>
  </si>
  <si>
    <t>Ademir / Itanel</t>
  </si>
  <si>
    <t>Avaliado pela execução, onde foi identificdo que tem que ser contratado uma empresa para uma avaliação/Empresa vira em 04.11 para validação-Acesso restrito reporgramar para quando a planta estiver mais "segura"-Programar pra semana 47/48</t>
  </si>
  <si>
    <t>Avaliação para aplicação de ar na posição P3 do soprador da Planta 01</t>
  </si>
  <si>
    <t>Avaliação do pulmão planta 02</t>
  </si>
  <si>
    <t>Itanel / Marcos</t>
  </si>
  <si>
    <t>Avaliado que pelo distanciamento, precisa ser individualizado, sendo nescessario adquirir para a Planta 04</t>
  </si>
  <si>
    <t xml:space="preserve">Tubulação do aditivo da descarga </t>
  </si>
  <si>
    <t>Revalidação do revestimento vencido Zebron</t>
  </si>
  <si>
    <t>Em negociação com Dario. Zebron não teria intencao na negociao idealizada por nos, sugerido aplicar em outros pontos:lanças, maquinas. Não sera possivel troca, sera usada em outros equipamentos da empresa</t>
  </si>
  <si>
    <t>Avaliação de iluminação dos infláveis na própria lona</t>
  </si>
  <si>
    <t>Não encontrada solução viavel. Testado Lider, Litoranea tendas e procurado na internet</t>
  </si>
  <si>
    <t>Monitoramento dos Sobressalentes dos Motores</t>
  </si>
  <si>
    <t>Edimilson / Marcos /Samara</t>
  </si>
  <si>
    <t>Solicitar bomba de transferencia Adfert</t>
  </si>
  <si>
    <t>Alinhado com Marlon, porem a bomba não atende as expectativas(flange diferente do que a gente utiliza, esta em processo de cotação). Flange não encontarado pela Adefert. Farão busca por outra bomba/Realizado reuniao com a Adfert, irao mandar a bomba conforme convdrsado com a liderança</t>
  </si>
  <si>
    <t>Reuniao de Alinhamento entre PCM, Man e Segurança</t>
  </si>
  <si>
    <t>Reuniao semanal não aconteceu, alinhar para antes de enviar o relatorio fazer o duplocheck com a manutenção</t>
  </si>
  <si>
    <t>Organizar treinamento de comunicação via rádio</t>
  </si>
  <si>
    <t>Marcos</t>
  </si>
  <si>
    <t>27.10-Material em elaboracao para abranger todos os operdores de radio/Material elaborado enviado para a liderança</t>
  </si>
  <si>
    <t>Verificar junto a empresa que atende a area de Maquinas, a retirada/emprestimo dos bicos injetores</t>
  </si>
  <si>
    <t>Marcos/Itanel</t>
  </si>
  <si>
    <t>Comprar bico para deixar como sobressalentes/Sistematizar PM dos geradores e compressores, dentro do ERP(Protheus). Avaliado que não precisa trocar os Bicos, ação concluida</t>
  </si>
  <si>
    <t>Criar e cadastrar planos de manutenção para Compressor/Gerador</t>
  </si>
  <si>
    <t>Marcos/Itanel/Edenilson/Edimilson</t>
  </si>
  <si>
    <t>Comprar pulmão para Planta 04</t>
  </si>
  <si>
    <t>Marcos/Ademir</t>
  </si>
  <si>
    <t>Vai ser usado o Pulmao da Planta 02 para 04</t>
  </si>
  <si>
    <t>Comprar bomba nova</t>
  </si>
  <si>
    <t>Aguardando cotacao das empresas/Recebido orçamentos em 13.11, feito SC em 17.11-Monitorando Pedido-Recebido Bombas da Advert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</si>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</sst>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;@"/>
    <numFmt numFmtId="165" formatCode="General_)"/>
    <numFmt numFmtId="166" formatCode="0.0000%"/>
    <numFmt numFmtId="167" formatCode="m/d/yy\ h:mm:ss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MS Sans Serif"/>
      <family val="2"/>
    </font>
    <font>
      <u/>
      <sz val="10"/>
      <color theme="10"/>
      <name val="Verdana"/>
      <family val="2"/>
    </font>
    <font>
      <u/>
      <sz val="7.7"/>
      <color theme="10"/>
      <name val="Calibri"/>
      <family val="2"/>
    </font>
    <font>
      <sz val="10"/>
      <name val="Helv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Courier"/>
      <family val="3"/>
    </font>
    <font>
      <b/>
      <u/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Verdana"/>
      <family val="2"/>
    </font>
    <font>
      <sz val="10"/>
      <color indexed="8"/>
      <name val="Verdana"/>
      <family val="2"/>
    </font>
    <font>
      <sz val="14"/>
      <name val="Arial"/>
      <family val="2"/>
    </font>
    <font>
      <i/>
      <sz val="10"/>
      <name val="Verdana"/>
      <family val="2"/>
    </font>
    <font>
      <b/>
      <sz val="9"/>
      <name val="Arial"/>
      <family val="2"/>
    </font>
    <font>
      <sz val="18"/>
      <name val="Arial"/>
      <family val="2"/>
    </font>
    <font>
      <u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mediumGray">
        <fgColor indexed="22"/>
      </patternFill>
    </fill>
    <fill>
      <patternFill patternType="solid">
        <fgColor indexed="9"/>
      </patternFill>
    </fill>
  </fills>
  <borders count="2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59">
    <xf numFmtId="0" fontId="0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3" fillId="0" borderId="0"/>
    <xf numFmtId="9" fontId="2" fillId="0" borderId="0" applyFon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2" fillId="0" borderId="0"/>
    <xf numFmtId="0" fontId="15" fillId="0" borderId="0"/>
    <xf numFmtId="165" fontId="17" fillId="0" borderId="0"/>
    <xf numFmtId="0" fontId="15" fillId="0" borderId="0"/>
    <xf numFmtId="0" fontId="2" fillId="0" borderId="0">
      <protection locked="0"/>
    </xf>
    <xf numFmtId="0" fontId="18" fillId="0" borderId="0">
      <protection locked="0"/>
    </xf>
    <xf numFmtId="0" fontId="2" fillId="0" borderId="0">
      <protection locked="0"/>
    </xf>
    <xf numFmtId="0" fontId="16" fillId="0" borderId="0">
      <protection locked="0"/>
    </xf>
    <xf numFmtId="0" fontId="19" fillId="0" borderId="0" applyNumberFormat="0" applyFont="0" applyFill="0" applyBorder="0" applyAlignment="0" applyProtection="0">
      <alignment horizontal="left"/>
    </xf>
    <xf numFmtId="15" fontId="19" fillId="0" borderId="0" applyFont="0" applyFill="0" applyBorder="0" applyAlignment="0" applyProtection="0"/>
    <xf numFmtId="4" fontId="19" fillId="0" borderId="0" applyFont="0" applyFill="0" applyBorder="0" applyAlignment="0" applyProtection="0"/>
    <xf numFmtId="0" fontId="20" fillId="0" borderId="7">
      <alignment horizontal="center"/>
    </xf>
    <xf numFmtId="3" fontId="19" fillId="0" borderId="0" applyFont="0" applyFill="0" applyBorder="0" applyAlignment="0" applyProtection="0"/>
    <xf numFmtId="0" fontId="19" fillId="4" borderId="0" applyNumberFormat="0" applyFont="0" applyBorder="0" applyAlignment="0" applyProtection="0"/>
    <xf numFmtId="166" fontId="21" fillId="0" borderId="0" applyFont="0" applyFill="0" applyBorder="0" applyAlignment="0" applyProtection="0"/>
    <xf numFmtId="0" fontId="21" fillId="0" borderId="8" applyNumberFormat="0" applyFont="0" applyFill="0" applyAlignment="0" applyProtection="0"/>
    <xf numFmtId="0" fontId="21" fillId="0" borderId="9" applyNumberFormat="0" applyFont="0" applyFill="0" applyAlignment="0" applyProtection="0"/>
    <xf numFmtId="0" fontId="21" fillId="0" borderId="10" applyNumberFormat="0" applyFont="0" applyFill="0" applyAlignment="0" applyProtection="0"/>
    <xf numFmtId="0" fontId="21" fillId="0" borderId="11" applyNumberFormat="0" applyFont="0" applyFill="0" applyAlignment="0" applyProtection="0"/>
    <xf numFmtId="0" fontId="21" fillId="0" borderId="12" applyNumberFormat="0" applyFont="0" applyFill="0" applyAlignment="0" applyProtection="0"/>
    <xf numFmtId="0" fontId="21" fillId="5" borderId="0" applyNumberFormat="0" applyFont="0" applyBorder="0" applyAlignment="0" applyProtection="0"/>
    <xf numFmtId="0" fontId="21" fillId="0" borderId="13" applyNumberFormat="0" applyFont="0" applyFill="0" applyAlignment="0" applyProtection="0"/>
    <xf numFmtId="0" fontId="21" fillId="0" borderId="14" applyNumberFormat="0" applyFont="0" applyFill="0" applyAlignment="0" applyProtection="0"/>
    <xf numFmtId="46" fontId="2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15" applyNumberFormat="0" applyFont="0" applyFill="0" applyAlignment="0" applyProtection="0"/>
    <xf numFmtId="0" fontId="21" fillId="0" borderId="16" applyNumberFormat="0" applyFont="0" applyFill="0" applyAlignment="0" applyProtection="0"/>
    <xf numFmtId="0" fontId="21" fillId="0" borderId="6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6" applyNumberFormat="0" applyFont="0" applyFill="0" applyAlignment="0" applyProtection="0"/>
    <xf numFmtId="0" fontId="21" fillId="0" borderId="0" applyNumberFormat="0" applyFont="0" applyFill="0" applyBorder="0" applyProtection="0">
      <alignment horizontal="center"/>
    </xf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Protection="0">
      <alignment horizontal="left"/>
    </xf>
    <xf numFmtId="0" fontId="21" fillId="5" borderId="0" applyNumberFormat="0" applyFont="0" applyBorder="0" applyAlignment="0" applyProtection="0"/>
    <xf numFmtId="0" fontId="26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18" applyNumberFormat="0" applyFont="0" applyFill="0" applyAlignment="0" applyProtection="0"/>
    <xf numFmtId="0" fontId="21" fillId="0" borderId="19" applyNumberFormat="0" applyFont="0" applyFill="0" applyAlignment="0" applyProtection="0"/>
    <xf numFmtId="167" fontId="21" fillId="0" borderId="0" applyFont="0" applyFill="0" applyBorder="0" applyAlignment="0" applyProtection="0"/>
    <xf numFmtId="0" fontId="21" fillId="0" borderId="20" applyNumberFormat="0" applyFont="0" applyFill="0" applyAlignment="0" applyProtection="0"/>
    <xf numFmtId="0" fontId="21" fillId="0" borderId="21" applyNumberFormat="0" applyFont="0" applyFill="0" applyAlignment="0" applyProtection="0"/>
    <xf numFmtId="0" fontId="21" fillId="0" borderId="22" applyNumberFormat="0" applyFont="0" applyFill="0" applyAlignment="0" applyProtection="0"/>
    <xf numFmtId="0" fontId="21" fillId="0" borderId="23" applyNumberFormat="0" applyFont="0" applyFill="0" applyAlignment="0" applyProtection="0"/>
    <xf numFmtId="0" fontId="21" fillId="0" borderId="24" applyNumberFormat="0" applyFont="0" applyFill="0" applyAlignment="0" applyProtection="0"/>
    <xf numFmtId="0" fontId="15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16" fontId="8" fillId="0" borderId="1" xfId="0" applyNumberFormat="1" applyFont="1" applyBorder="1" applyAlignment="1">
      <alignment horizontal="center" vertical="center" wrapText="1"/>
    </xf>
    <xf numFmtId="16" fontId="11" fillId="0" borderId="1" xfId="0" applyNumberFormat="1" applyFont="1" applyBorder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/>
    </xf>
    <xf numFmtId="16" fontId="0" fillId="0" borderId="0" xfId="0" applyNumberFormat="1"/>
    <xf numFmtId="0" fontId="12" fillId="0" borderId="0" xfId="0" applyFont="1"/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2" fillId="0" borderId="1" xfId="0" applyFont="1" applyBorder="1"/>
    <xf numFmtId="0" fontId="27" fillId="3" borderId="1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4" xfId="0" applyBorder="1" applyAlignment="1">
      <alignment vertical="center"/>
    </xf>
    <xf numFmtId="14" fontId="0" fillId="0" borderId="25" xfId="0" applyNumberFormat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16" fontId="28" fillId="0" borderId="1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6" xfId="0" applyBorder="1" applyAlignment="1">
      <alignment horizontal="left" vertical="center" wrapText="1"/>
    </xf>
    <xf numFmtId="16" fontId="0" fillId="0" borderId="26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5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16" fontId="0" fillId="0" borderId="3" xfId="0" applyNumberFormat="1" applyBorder="1" applyAlignment="1">
      <alignment horizontal="center" vertical="center"/>
    </xf>
    <xf numFmtId="16" fontId="0" fillId="0" borderId="25" xfId="0" applyNumberFormat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0" borderId="2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" fontId="0" fillId="0" borderId="0" xfId="0" applyNumberFormat="1" applyAlignment="1">
      <alignment horizontal="center" vertical="center"/>
    </xf>
  </cellXfs>
  <cellStyles count="59">
    <cellStyle name="Excel.Chart" xfId="15" xr:uid="{E736D9E5-213B-46D3-97B9-D009C80242A8}"/>
    <cellStyle name="Hyperlink 2" xfId="10" xr:uid="{00000000-0005-0000-0000-000000000000}"/>
    <cellStyle name="Hyperlink 3" xfId="11" xr:uid="{00000000-0005-0000-0000-000001000000}"/>
    <cellStyle name="Normal" xfId="0" builtinId="0"/>
    <cellStyle name="Normal - Style1" xfId="2" xr:uid="{00000000-0005-0000-0000-000003000000}"/>
    <cellStyle name="Normal 2" xfId="1" xr:uid="{00000000-0005-0000-0000-000004000000}"/>
    <cellStyle name="Normal 2 2" xfId="3" xr:uid="{00000000-0005-0000-0000-000005000000}"/>
    <cellStyle name="Normal 2 2 2" xfId="13" xr:uid="{00000000-0005-0000-0000-000006000000}"/>
    <cellStyle name="Normal 3" xfId="4" xr:uid="{00000000-0005-0000-0000-000007000000}"/>
    <cellStyle name="Normal 4" xfId="5" xr:uid="{00000000-0005-0000-0000-000008000000}"/>
    <cellStyle name="Normal 4 2" xfId="6" xr:uid="{00000000-0005-0000-0000-000009000000}"/>
    <cellStyle name="Normal 5" xfId="7" xr:uid="{00000000-0005-0000-0000-00000A000000}"/>
    <cellStyle name="Normal 6" xfId="14" xr:uid="{410E76B5-026B-4263-B084-019C30F381D2}"/>
    <cellStyle name="Normal 7" xfId="16" xr:uid="{3C436220-70C3-4AEC-9881-34DC6F79867E}"/>
    <cellStyle name="Normal 8" xfId="58" xr:uid="{C5AB5C25-A9CB-4EA3-8938-9D8727D28839}"/>
    <cellStyle name="Percent 2" xfId="8" xr:uid="{00000000-0005-0000-0000-00000B000000}"/>
    <cellStyle name="PillarData" xfId="17" xr:uid="{3C90D988-9FBA-4F72-B902-CCFCCBB5EBAA}"/>
    <cellStyle name="PillarHeading" xfId="18" xr:uid="{E07B6E22-5DB9-4851-8DD2-FCC0B15977A0}"/>
    <cellStyle name="PillarText" xfId="19" xr:uid="{E970B8D7-A00B-41C7-843A-7FC9402F7ECB}"/>
    <cellStyle name="PillarTotal" xfId="20" xr:uid="{B9533F6E-A9B0-4F6E-8241-10895675F953}"/>
    <cellStyle name="PSChar" xfId="21" xr:uid="{05EB2AAD-C55E-417C-8964-D172327787A6}"/>
    <cellStyle name="PSDate" xfId="22" xr:uid="{86C77E13-BB32-4D21-8C61-CF92C8867F57}"/>
    <cellStyle name="PSDec" xfId="23" xr:uid="{A19CEBC3-8E78-44F3-972C-22287EF76355}"/>
    <cellStyle name="PSHeading" xfId="24" xr:uid="{3C4301BA-F8CC-44C3-A640-96E0F9D71852}"/>
    <cellStyle name="PSInt" xfId="25" xr:uid="{4755E78F-1CB1-407C-9A2A-57AF322B4679}"/>
    <cellStyle name="PSSpacer" xfId="26" xr:uid="{22008461-E17F-4053-9FEF-FC1AC34073D4}"/>
    <cellStyle name="RISKbigPercent" xfId="27" xr:uid="{03FA4C5D-7296-47AF-A9C0-0786DAE32F9F}"/>
    <cellStyle name="RISKblandrEdge" xfId="28" xr:uid="{B12F2C31-72E1-4D44-A217-CDBAC1ABA72A}"/>
    <cellStyle name="RISKblCorner" xfId="29" xr:uid="{F31570C6-E62C-4FB8-B022-53C093F37584}"/>
    <cellStyle name="RISKbottomEdge" xfId="30" xr:uid="{19591839-8418-47F2-87EB-8B99451BEBD9}"/>
    <cellStyle name="RISKbrCorner" xfId="31" xr:uid="{2AA16324-4FF5-4665-B495-86E0ACF509D4}"/>
    <cellStyle name="RISKdarkBoxed" xfId="32" xr:uid="{25EBE6CA-2A55-4DE5-984E-2A50CEF17FD8}"/>
    <cellStyle name="RISKdarkShade" xfId="33" xr:uid="{DED746D4-5E93-43BF-B223-C47618027944}"/>
    <cellStyle name="RISKdbottomEdge" xfId="34" xr:uid="{BA400F7A-6D04-4FEA-A89A-C23659E54F09}"/>
    <cellStyle name="RISKdrightEdge" xfId="35" xr:uid="{9437C475-D415-46A1-BAAB-08D8F71F7FE1}"/>
    <cellStyle name="RISKdurationTime" xfId="36" xr:uid="{48D9D4C4-19E2-413F-A193-6F6A7BCC6D35}"/>
    <cellStyle name="RISKinNumber" xfId="37" xr:uid="{132387EA-8929-4317-BF98-2957FB859D5A}"/>
    <cellStyle name="RISKlandrEdge" xfId="38" xr:uid="{24AB09C2-D760-46C5-A97C-3251C919AED8}"/>
    <cellStyle name="RISKleftEdge" xfId="39" xr:uid="{087136AE-8665-4FDA-81ED-ADF84C95AC5E}"/>
    <cellStyle name="RISKlightBoxed" xfId="40" xr:uid="{3D008C2D-E918-4654-89A0-B2CF86680191}"/>
    <cellStyle name="RISKltandbEdge" xfId="41" xr:uid="{20049D40-7355-4657-BCBD-CBDDE9AFEA4D}"/>
    <cellStyle name="RISKnormBoxed" xfId="42" xr:uid="{D09786BF-E50C-45D3-891A-FAD8E58ED471}"/>
    <cellStyle name="RISKnormCenter" xfId="43" xr:uid="{9EC128F6-E9EA-4CCD-8EF1-3B82432904D8}"/>
    <cellStyle name="RISKnormHeading" xfId="44" xr:uid="{03816EB1-515A-453E-A985-34B73B16324F}"/>
    <cellStyle name="RISKnormItal" xfId="45" xr:uid="{6AF76E9D-C847-4F3F-93DE-CB9227C6C570}"/>
    <cellStyle name="RISKnormLabel" xfId="46" xr:uid="{5E32305D-D5C6-4142-9725-98D8565F42C5}"/>
    <cellStyle name="RISKnormShade" xfId="47" xr:uid="{6660EE31-5695-49F3-8184-06DB11009C61}"/>
    <cellStyle name="RISKnormTitle" xfId="48" xr:uid="{71A5048C-EDEF-4961-8011-29D5D8600C20}"/>
    <cellStyle name="RISKoutNumber" xfId="49" xr:uid="{D240756E-908F-4854-A576-DA368DC4A6AC}"/>
    <cellStyle name="RISKrightEdge" xfId="50" xr:uid="{875DF946-6D3A-452C-A20D-218388855FB3}"/>
    <cellStyle name="RISKrtandbEdge" xfId="51" xr:uid="{713B337C-4E81-4735-AE15-7C3B58E1BCA4}"/>
    <cellStyle name="RISKssTime" xfId="52" xr:uid="{FC29852A-1909-4EB1-BB9A-1F5AC1B2C9F0}"/>
    <cellStyle name="RISKtandbEdge" xfId="53" xr:uid="{71093C1A-F893-4F26-809A-D223AE794922}"/>
    <cellStyle name="RISKtlandrEdge" xfId="54" xr:uid="{02C5D7EE-FFB9-4392-AE53-3007BB859B31}"/>
    <cellStyle name="RISKtlCorner" xfId="55" xr:uid="{9F7955D6-FF07-4B2C-87B9-014F0B646179}"/>
    <cellStyle name="RISKtopEdge" xfId="56" xr:uid="{F19284A1-027F-474F-9F74-B7129B0DDA38}"/>
    <cellStyle name="RISKtrCorner" xfId="57" xr:uid="{F971B194-5EF9-4524-8273-8CA2A20AFBF0}"/>
    <cellStyle name="Standard_NEGS" xfId="9" xr:uid="{00000000-0005-0000-0000-00000C000000}"/>
    <cellStyle name="Style 1" xfId="12" xr:uid="{00000000-0005-0000-0000-00000D000000}"/>
  </cellStyles>
  <dxfs count="4"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FCC00"/>
      <color rgb="FF927AAE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4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VPO%20GG\FASE%204\Pir&#226;mide%20de%20Sustentabilidade\Acompanhamento%20Mensal%20PEF\Relat&#243;rio%20Acompanhamento%20Mensal%20PEF\2010\Consolidador%20VPO%20-%20Vers&#227;o%201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IMP%20InBev%20Management%20Pillar\IMP%20Working%20in%20progress\3.%20IMP%20Manage%20to%20Improve\3.3%20IMP%20MTI%20Problem%20Solving\3.3%20IMP%20MTI%20PS%20Supporting%20materials\3.3%20IMP%20MTI%20PS%20PDCA%20Tool\PDCA%20Tool%2007.01%20(1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Pergunta"/>
      <sheetName val="BaseBloco"/>
      <sheetName val="Piram"/>
      <sheetName val="Consolidado Bloco"/>
      <sheetName val="Consolidado Pergunta"/>
      <sheetName val="Consolidado Área"/>
      <sheetName val="PergRegLan"/>
      <sheetName val="Tab"/>
      <sheetName val="er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0.0"/>
      <sheetName val="1.0"/>
      <sheetName val="1.1"/>
      <sheetName val="1.2"/>
      <sheetName val="1.3"/>
      <sheetName val="2.0"/>
      <sheetName val="2"/>
      <sheetName val="3.0"/>
      <sheetName val="3"/>
      <sheetName val="3.1"/>
      <sheetName val="3.2"/>
      <sheetName val="4.0"/>
      <sheetName val="4"/>
      <sheetName val="5.0"/>
      <sheetName val="5.1"/>
      <sheetName val="5.2"/>
      <sheetName val="5.3"/>
      <sheetName val="6.0"/>
      <sheetName val="6.1"/>
      <sheetName val="6.2"/>
      <sheetName val="6.3.Jan"/>
      <sheetName val="6.3.Feb"/>
      <sheetName val="6.3.Mar"/>
      <sheetName val="6.3.Apr"/>
      <sheetName val="6.3.May"/>
      <sheetName val="6.3.Jun"/>
      <sheetName val="6.3.Jul"/>
      <sheetName val="6.3.Aug"/>
      <sheetName val="6.3.Sep"/>
      <sheetName val="6.3.Oct"/>
      <sheetName val="6.3.Nov"/>
      <sheetName val="6.3.Dec"/>
      <sheetName val="7.0"/>
      <sheetName val="7.1"/>
      <sheetName val="8.0"/>
      <sheetName val="8.1"/>
      <sheetName val="Pareto_Template"/>
      <sheetName val="Blank_Template"/>
      <sheetName val="Lists"/>
      <sheetName val="Aux"/>
      <sheetName val="Aux (2)"/>
      <sheetName val="volume"/>
      <sheetName val="Pareto_Template (2)"/>
      <sheetName val="Deployment_by_Countries"/>
      <sheetName val="TMEF - TMR 131"/>
      <sheetName val="TMEF - TMR 151"/>
      <sheetName val="Tela Inicial"/>
      <sheetName val="TMEF _ TMR  121"/>
      <sheetName val="Vermelha"/>
      <sheetName val="#¡REF"/>
      <sheetName val="RESULTADOS"/>
      <sheetName val="Prod"/>
      <sheetName val="Eficiencia"/>
      <sheetName val="0_0"/>
      <sheetName val="1_0"/>
      <sheetName val="1_1"/>
      <sheetName val="1_2"/>
      <sheetName val="1_3"/>
      <sheetName val="2_0"/>
      <sheetName val="3_0"/>
      <sheetName val="3_1"/>
      <sheetName val="3_2"/>
      <sheetName val="4_0"/>
      <sheetName val="5_0"/>
      <sheetName val="5_1"/>
      <sheetName val="5_2"/>
      <sheetName val="5_3"/>
      <sheetName val="6_0"/>
      <sheetName val="6_1"/>
      <sheetName val="6_2"/>
      <sheetName val="6_3_Jan"/>
      <sheetName val="6_3_Feb"/>
      <sheetName val="6_3_Mar"/>
      <sheetName val="6_3_Apr"/>
      <sheetName val="6_3_May"/>
      <sheetName val="6_3_Jun"/>
      <sheetName val="6_3_Jul"/>
      <sheetName val="6_3_Aug"/>
      <sheetName val="6_3_Sep"/>
      <sheetName val="6_3_Oct"/>
      <sheetName val="6_3_Nov"/>
      <sheetName val="6_3_Dec"/>
      <sheetName val="7_0"/>
      <sheetName val="7_1"/>
      <sheetName val="8_0"/>
      <sheetName val="8_1"/>
      <sheetName val="Aux_(2)"/>
      <sheetName val="Pareto_Template_(2)"/>
      <sheetName val="TMEF_-_TMR_131"/>
      <sheetName val="TMEF_-_TMR_151"/>
      <sheetName val="Tela_Inicial"/>
      <sheetName val="TMEF___TMR__121"/>
      <sheetName val="PM"/>
      <sheetName val="212405"/>
      <sheetName val="AO"/>
      <sheetName val="BG"/>
      <sheetName val="EE"/>
      <sheetName val="PV"/>
      <sheetName val="SG"/>
      <sheetName val="TI"/>
      <sheetName val="Pla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FF36F-5BEC-4CA0-88F3-DA666CD02AB3}">
  <sheetPr>
    <pageSetUpPr fitToPage="1"/>
  </sheetPr>
  <dimension ref="B1:AC233"/>
  <sheetViews>
    <sheetView showGridLines="0" tabSelected="1" topLeftCell="H1" zoomScale="70" zoomScaleNormal="70" workbookViewId="0">
      <pane ySplit="2" topLeftCell="A3" activePane="bottomLeft" state="frozen"/>
      <selection pane="bottomLeft" activeCell="U208" sqref="U208"/>
    </sheetView>
  </sheetViews>
  <sheetFormatPr defaultColWidth="9.1796875" defaultRowHeight="14.5" x14ac:dyDescent="0.35"/>
  <cols>
    <col min="1" max="1" width="12.81640625" style="2" customWidth="1"/>
    <col min="2" max="2" width="14" style="1" bestFit="1" customWidth="1"/>
    <col min="3" max="3" width="17" style="1" customWidth="1"/>
    <col min="4" max="4" width="15.453125" style="1" customWidth="1"/>
    <col min="5" max="5" width="23.453125" style="1" customWidth="1"/>
    <col min="6" max="6" width="22.54296875" style="15" customWidth="1"/>
    <col min="7" max="7" width="49.7265625" style="15" customWidth="1"/>
    <col min="8" max="8" width="11.26953125" style="15" bestFit="1" customWidth="1"/>
    <col min="9" max="9" width="48.26953125" style="15" customWidth="1"/>
    <col min="10" max="10" width="42.54296875" style="15" hidden="1" customWidth="1"/>
    <col min="11" max="11" width="19.1796875" style="16" hidden="1" customWidth="1"/>
    <col min="12" max="12" width="1.453125" style="1" hidden="1" customWidth="1"/>
    <col min="13" max="13" width="29.1796875" style="1" customWidth="1"/>
    <col min="14" max="14" width="22.54296875" style="1" customWidth="1"/>
    <col min="15" max="15" width="22" style="1" customWidth="1"/>
    <col min="16" max="17" width="12.54296875" style="1" customWidth="1"/>
    <col min="18" max="18" width="15.1796875" style="1" bestFit="1" customWidth="1"/>
    <col min="19" max="19" width="17" style="1" customWidth="1"/>
    <col min="20" max="20" width="11" style="2" customWidth="1"/>
    <col min="21" max="21" width="59.1796875" style="16" bestFit="1" customWidth="1"/>
    <col min="22" max="23" width="13.26953125" style="16" bestFit="1" customWidth="1"/>
    <col min="24" max="16384" width="9.1796875" style="2"/>
  </cols>
  <sheetData>
    <row r="1" spans="2:23" ht="18.5" x14ac:dyDescent="0.35">
      <c r="M1" s="24">
        <f ca="1">TODAY()</f>
        <v>46265</v>
      </c>
      <c r="N1" s="24"/>
      <c r="O1" s="24"/>
      <c r="P1" s="24"/>
      <c r="Q1" s="24"/>
    </row>
    <row r="2" spans="2:23" s="1" customFormat="1" ht="29" x14ac:dyDescent="0.35">
      <c r="B2" s="17" t="s">
        <v>0</v>
      </c>
      <c r="C2" s="17" t="s">
        <v>1</v>
      </c>
      <c r="D2" s="17" t="s">
        <v>2</v>
      </c>
      <c r="E2" s="17" t="s">
        <v>3</v>
      </c>
      <c r="F2" s="18" t="s">
        <v>4</v>
      </c>
      <c r="G2" s="18" t="s">
        <v>5</v>
      </c>
      <c r="H2" s="18" t="s">
        <v>6</v>
      </c>
      <c r="I2" s="18" t="s">
        <v>0</v>
      </c>
      <c r="J2" s="18" t="s">
        <v>7</v>
      </c>
      <c r="K2" s="18" t="s">
        <v>8</v>
      </c>
      <c r="L2" s="17" t="s">
        <v>9</v>
      </c>
      <c r="M2" s="17" t="s">
        <v>10</v>
      </c>
      <c r="N2" s="17" t="s">
        <v>11</v>
      </c>
      <c r="O2" s="17" t="s">
        <v>12</v>
      </c>
      <c r="P2" s="17" t="s">
        <v>13</v>
      </c>
      <c r="Q2" s="17" t="s">
        <v>13</v>
      </c>
      <c r="R2" s="17" t="s">
        <v>14</v>
      </c>
      <c r="S2" s="17" t="s">
        <v>15</v>
      </c>
      <c r="T2" s="17" t="s">
        <v>16</v>
      </c>
      <c r="U2" s="17" t="s">
        <v>17</v>
      </c>
      <c r="V2" s="19" t="s">
        <v>18</v>
      </c>
      <c r="W2" s="19" t="s">
        <v>19</v>
      </c>
    </row>
    <row r="3" spans="2:23" ht="29" x14ac:dyDescent="0.35">
      <c r="B3" s="3">
        <v>1</v>
      </c>
      <c r="C3" s="3" t="s">
        <v>20</v>
      </c>
      <c r="D3" s="4" t="s">
        <v>21</v>
      </c>
      <c r="E3" s="4" t="s">
        <v>22</v>
      </c>
      <c r="F3" s="5" t="s">
        <v>23</v>
      </c>
      <c r="G3" s="5" t="s">
        <v>24</v>
      </c>
      <c r="H3" s="5" t="s">
        <v>25</v>
      </c>
      <c r="I3" s="5" t="s">
        <v>26</v>
      </c>
      <c r="J3" s="5"/>
      <c r="K3" s="6"/>
      <c r="L3" s="3"/>
      <c r="M3" s="3" t="s">
        <v>27</v>
      </c>
      <c r="N3" s="3"/>
      <c r="O3" s="7">
        <v>45278</v>
      </c>
      <c r="P3" s="7"/>
      <c r="Q3" s="7"/>
      <c r="R3" s="7">
        <v>45278</v>
      </c>
      <c r="S3" s="9" t="str" cm="1">
        <f t="array" aca="1" ref="S3" ca="1">IF(O3="","Sem prazo",(_xlfn.IFS((AND(R3="",O3&lt;=$M$1)),"Atrasada",AND(OR(R3="",R3&gt;=$M$1),O3&gt;$M$1),"Em andamento",R3="Cancelada","Cancelada",(OR(R3&lt;&gt;"",R3&lt;&gt;"Cancelada")),"Concluída")))</f>
        <v>Concluída</v>
      </c>
      <c r="T3" s="5"/>
      <c r="U3" s="10"/>
      <c r="V3" s="10" t="e">
        <f>_xlfn.XLOOKUP(O3,#REF!,#REF!)</f>
        <v>#REF!</v>
      </c>
      <c r="W3" s="10" t="e">
        <f>_xlfn.XLOOKUP(R3,#REF!,#REF!)</f>
        <v>#REF!</v>
      </c>
    </row>
    <row r="4" spans="2:23" ht="29" x14ac:dyDescent="0.35">
      <c r="B4" s="3">
        <v>2</v>
      </c>
      <c r="C4" s="3" t="s">
        <v>20</v>
      </c>
      <c r="D4" s="4" t="s">
        <v>28</v>
      </c>
      <c r="E4" s="4" t="s">
        <v>22</v>
      </c>
      <c r="F4" s="5" t="s">
        <v>23</v>
      </c>
      <c r="G4" s="5" t="s">
        <v>24</v>
      </c>
      <c r="H4" s="5" t="s">
        <v>25</v>
      </c>
      <c r="I4" s="5" t="s">
        <v>29</v>
      </c>
      <c r="J4" s="5"/>
      <c r="K4" s="6"/>
      <c r="L4" s="6"/>
      <c r="M4" s="3" t="s">
        <v>30</v>
      </c>
      <c r="N4" s="3"/>
      <c r="O4" s="7">
        <v>45280</v>
      </c>
      <c r="P4" s="7"/>
      <c r="Q4" s="7"/>
      <c r="R4" s="7">
        <v>45279</v>
      </c>
      <c r="S4" s="9" t="str" cm="1">
        <f t="array" aca="1" ref="S4" ca="1">IF(O4="","Sem prazo",(_xlfn.IFS((AND(R4="",O4&lt;=$M$1)),"Atrasada",AND(OR(R4="",R4&gt;=$M$1),O4&gt;$M$1),"Em andamento",R4="Cancelada","Cancelada",(OR(R4&lt;&gt;"",R4&lt;&gt;"Cancelada")),"Concluída")))</f>
        <v>Concluída</v>
      </c>
      <c r="T4" s="5"/>
      <c r="U4" s="10"/>
      <c r="V4" s="10" t="e">
        <f>_xlfn.XLOOKUP(O4,#REF!,#REF!)</f>
        <v>#REF!</v>
      </c>
      <c r="W4" s="10" t="e">
        <f>_xlfn.XLOOKUP(R4,#REF!,#REF!)</f>
        <v>#REF!</v>
      </c>
    </row>
    <row r="5" spans="2:23" ht="29" x14ac:dyDescent="0.35">
      <c r="B5" s="3">
        <v>3</v>
      </c>
      <c r="C5" s="3" t="s">
        <v>20</v>
      </c>
      <c r="D5" s="4" t="s">
        <v>31</v>
      </c>
      <c r="E5" s="4" t="s">
        <v>32</v>
      </c>
      <c r="F5" s="5" t="s">
        <v>33</v>
      </c>
      <c r="G5" s="26" t="s">
        <v>34</v>
      </c>
      <c r="H5" s="5" t="s">
        <v>25</v>
      </c>
      <c r="I5" s="5" t="s">
        <v>29</v>
      </c>
      <c r="J5" s="5"/>
      <c r="K5" s="6"/>
      <c r="L5" s="3"/>
      <c r="M5" s="3" t="s">
        <v>30</v>
      </c>
      <c r="N5" s="3"/>
      <c r="O5" s="7">
        <v>45280</v>
      </c>
      <c r="P5" s="7"/>
      <c r="Q5" s="7"/>
      <c r="R5" s="7">
        <v>45279</v>
      </c>
      <c r="S5" s="9" t="str" cm="1">
        <f t="array" aca="1" ref="S5" ca="1">IF(O5="","Sem prazo",(_xlfn.IFS((AND(R5="",O5&lt;=$M$1)),"Atrasada",AND(OR(R5="",R5&gt;=$M$1),O5&gt;$M$1),"Em andamento",R5="Cancelada","Cancelada",(OR(R5&lt;&gt;"",R5&lt;&gt;"Cancelada")),"Concluída")))</f>
        <v>Concluída</v>
      </c>
      <c r="T5" s="20"/>
      <c r="U5" s="21"/>
      <c r="V5" s="10" t="e">
        <f>_xlfn.XLOOKUP(O5,#REF!,#REF!)</f>
        <v>#REF!</v>
      </c>
      <c r="W5" s="10" t="e">
        <f>_xlfn.XLOOKUP(R5,#REF!,#REF!)</f>
        <v>#REF!</v>
      </c>
    </row>
    <row r="6" spans="2:23" ht="29" x14ac:dyDescent="0.35">
      <c r="B6" s="3">
        <v>4</v>
      </c>
      <c r="C6" s="3" t="s">
        <v>20</v>
      </c>
      <c r="D6" s="4" t="s">
        <v>35</v>
      </c>
      <c r="E6" s="4" t="s">
        <v>36</v>
      </c>
      <c r="F6" s="5" t="s">
        <v>37</v>
      </c>
      <c r="G6" s="5" t="s">
        <v>38</v>
      </c>
      <c r="H6" s="5" t="s">
        <v>25</v>
      </c>
      <c r="I6" s="5" t="s">
        <v>29</v>
      </c>
      <c r="J6" s="5"/>
      <c r="K6" s="6"/>
      <c r="L6" s="3"/>
      <c r="M6" s="3" t="s">
        <v>30</v>
      </c>
      <c r="N6" s="3"/>
      <c r="O6" s="7">
        <v>45280</v>
      </c>
      <c r="P6" s="7"/>
      <c r="Q6" s="7"/>
      <c r="R6" s="7">
        <v>45279</v>
      </c>
      <c r="S6" s="9" t="str" cm="1">
        <f t="array" aca="1" ref="S6" ca="1">IF(O6="","Sem prazo",(_xlfn.IFS((AND(R6="",O6&lt;=$M$1)),"Atrasada",AND(OR(R6="",R6&gt;=$M$1),O6&gt;$M$1),"Em andamento",R6="Cancelada","Cancelada",(OR(R6&lt;&gt;"",R6&lt;&gt;"Cancelada")),"Concluída")))</f>
        <v>Concluída</v>
      </c>
      <c r="T6" s="5"/>
      <c r="U6" s="10"/>
      <c r="V6" s="10" t="e">
        <f>_xlfn.XLOOKUP(O6,#REF!,#REF!)</f>
        <v>#REF!</v>
      </c>
      <c r="W6" s="10" t="e">
        <f>_xlfn.XLOOKUP(R6,#REF!,#REF!)</f>
        <v>#REF!</v>
      </c>
    </row>
    <row r="7" spans="2:23" ht="29" x14ac:dyDescent="0.35">
      <c r="B7" s="3">
        <v>5</v>
      </c>
      <c r="C7" s="3" t="s">
        <v>20</v>
      </c>
      <c r="D7" s="4" t="s">
        <v>39</v>
      </c>
      <c r="E7" s="4" t="s">
        <v>40</v>
      </c>
      <c r="F7" s="5" t="s">
        <v>23</v>
      </c>
      <c r="G7" s="5" t="s">
        <v>24</v>
      </c>
      <c r="H7" s="5" t="s">
        <v>25</v>
      </c>
      <c r="I7" s="5" t="s">
        <v>29</v>
      </c>
      <c r="J7" s="5"/>
      <c r="K7" s="6"/>
      <c r="L7" s="3"/>
      <c r="M7" s="3" t="s">
        <v>30</v>
      </c>
      <c r="N7" s="3"/>
      <c r="O7" s="7">
        <v>45280</v>
      </c>
      <c r="P7" s="7"/>
      <c r="Q7" s="7"/>
      <c r="R7" s="7">
        <v>45279</v>
      </c>
      <c r="S7" s="9" t="str" cm="1">
        <f t="array" aca="1" ref="S7" ca="1">IF(O7="","Sem prazo",(_xlfn.IFS((AND(R7="",O7&lt;=$M$1)),"Atrasada",AND(OR(R7="",R7&gt;=$M$1),O7&gt;$M$1),"Em andamento",R7="Cancelada","Cancelada",(OR(R7&lt;&gt;"",R7&lt;&gt;"Cancelada")),"Concluída")))</f>
        <v>Concluída</v>
      </c>
      <c r="T7" s="5"/>
      <c r="U7" s="10"/>
      <c r="V7" s="10" t="e">
        <f>_xlfn.XLOOKUP(O7,#REF!,#REF!)</f>
        <v>#REF!</v>
      </c>
      <c r="W7" s="10" t="e">
        <f>_xlfn.XLOOKUP(R7,#REF!,#REF!)</f>
        <v>#REF!</v>
      </c>
    </row>
    <row r="8" spans="2:23" ht="29" x14ac:dyDescent="0.35">
      <c r="B8" s="3">
        <v>6</v>
      </c>
      <c r="C8" s="3" t="s">
        <v>20</v>
      </c>
      <c r="D8" s="4" t="s">
        <v>33</v>
      </c>
      <c r="E8" s="4" t="s">
        <v>33</v>
      </c>
      <c r="F8" s="27" t="s">
        <v>33</v>
      </c>
      <c r="G8" s="28" t="s">
        <v>41</v>
      </c>
      <c r="H8" s="5" t="s">
        <v>25</v>
      </c>
      <c r="I8" s="5" t="s">
        <v>42</v>
      </c>
      <c r="J8" s="5"/>
      <c r="K8" s="6"/>
      <c r="L8" s="3"/>
      <c r="M8" s="3" t="s">
        <v>43</v>
      </c>
      <c r="N8" s="3"/>
      <c r="O8" s="7">
        <v>45280</v>
      </c>
      <c r="P8" s="7"/>
      <c r="Q8" s="7"/>
      <c r="R8" s="7">
        <v>45279</v>
      </c>
      <c r="S8" s="9" t="str" cm="1">
        <f t="array" aca="1" ref="S8" ca="1">IF(O8="","Sem prazo",(_xlfn.IFS((AND(R8="",O8&lt;=$M$1)),"Atrasada",AND(OR(R8="",R8&gt;=$M$1),O8&gt;$M$1),"Em andamento",R8="Cancelada","Cancelada",(OR(R8&lt;&gt;"",R8&lt;&gt;"Cancelada")),"Concluída")))</f>
        <v>Concluída</v>
      </c>
      <c r="T8" s="5"/>
      <c r="U8" s="10"/>
      <c r="V8" s="10" t="e">
        <f>_xlfn.XLOOKUP(O8,#REF!,#REF!)</f>
        <v>#REF!</v>
      </c>
      <c r="W8" s="10" t="e">
        <f>_xlfn.XLOOKUP(R8,#REF!,#REF!)</f>
        <v>#REF!</v>
      </c>
    </row>
    <row r="9" spans="2:23" ht="29" x14ac:dyDescent="0.35">
      <c r="B9" s="3">
        <v>7</v>
      </c>
      <c r="C9" s="3" t="s">
        <v>20</v>
      </c>
      <c r="D9" s="4"/>
      <c r="E9" s="4"/>
      <c r="F9" s="5"/>
      <c r="G9" s="28" t="s">
        <v>44</v>
      </c>
      <c r="H9" s="5" t="s">
        <v>45</v>
      </c>
      <c r="I9" s="5" t="s">
        <v>46</v>
      </c>
      <c r="J9" s="5"/>
      <c r="K9" s="6"/>
      <c r="L9" s="3"/>
      <c r="M9" s="3" t="s">
        <v>47</v>
      </c>
      <c r="N9" s="3"/>
      <c r="O9" s="7">
        <v>45288</v>
      </c>
      <c r="P9" s="7"/>
      <c r="Q9" s="7"/>
      <c r="R9" s="7">
        <v>45286</v>
      </c>
      <c r="S9" s="9" t="str" cm="1">
        <f t="array" aca="1" ref="S9" ca="1">IF(O9="","Sem prazo",(_xlfn.IFS((AND(R9="",O9&lt;=$M$1)),"Atrasada",AND(OR(R9="",R9&gt;=$M$1),O9&gt;$M$1),"Em andamento",R9="Cancelada","Cancelada",(OR(R9&lt;&gt;"",R9&lt;&gt;"Cancelada")),"Concluída")))</f>
        <v>Concluída</v>
      </c>
      <c r="T9" s="20"/>
      <c r="U9" s="22"/>
      <c r="V9" s="10" t="e">
        <f>_xlfn.XLOOKUP(O9,#REF!,#REF!)</f>
        <v>#REF!</v>
      </c>
      <c r="W9" s="10" t="e">
        <f>_xlfn.XLOOKUP(R9,#REF!,#REF!)</f>
        <v>#REF!</v>
      </c>
    </row>
    <row r="10" spans="2:23" ht="29" x14ac:dyDescent="0.35">
      <c r="B10" s="3">
        <v>8</v>
      </c>
      <c r="C10" s="3" t="s">
        <v>20</v>
      </c>
      <c r="D10" s="4" t="s">
        <v>33</v>
      </c>
      <c r="E10" s="4" t="s">
        <v>33</v>
      </c>
      <c r="F10" s="5" t="s">
        <v>33</v>
      </c>
      <c r="G10" s="5" t="s">
        <v>48</v>
      </c>
      <c r="H10" s="5" t="s">
        <v>45</v>
      </c>
      <c r="I10" s="5" t="s">
        <v>49</v>
      </c>
      <c r="J10" s="5"/>
      <c r="K10" s="6"/>
      <c r="L10" s="3"/>
      <c r="M10" s="3" t="s">
        <v>27</v>
      </c>
      <c r="N10" s="3"/>
      <c r="O10" s="7">
        <v>45288</v>
      </c>
      <c r="P10" s="7"/>
      <c r="Q10" s="7"/>
      <c r="R10" s="7">
        <v>45288</v>
      </c>
      <c r="S10" s="9" t="str" cm="1">
        <f t="array" aca="1" ref="S10" ca="1">IF(O10="","Sem prazo",(_xlfn.IFS((AND(R10="",O10&lt;=$M$1)),"Atrasada",AND(OR(R10="",R10&gt;=$M$1),O10&gt;$M$1),"Em andamento",R10="Cancelada","Cancelada",(OR(R10&lt;&gt;"",R10&lt;&gt;"Cancelada")),"Concluída")))</f>
        <v>Concluída</v>
      </c>
      <c r="T10" s="5"/>
      <c r="U10" s="22"/>
      <c r="V10" s="10" t="e">
        <f>_xlfn.XLOOKUP(O10,#REF!,#REF!)</f>
        <v>#REF!</v>
      </c>
      <c r="W10" s="10" t="e">
        <f>_xlfn.XLOOKUP(R10,#REF!,#REF!)</f>
        <v>#REF!</v>
      </c>
    </row>
    <row r="11" spans="2:23" ht="29" x14ac:dyDescent="0.35">
      <c r="B11" s="3">
        <v>9</v>
      </c>
      <c r="C11" s="3" t="s">
        <v>20</v>
      </c>
      <c r="D11" s="4" t="s">
        <v>50</v>
      </c>
      <c r="E11" s="4" t="s">
        <v>22</v>
      </c>
      <c r="F11" s="5" t="s">
        <v>23</v>
      </c>
      <c r="G11" s="5" t="s">
        <v>24</v>
      </c>
      <c r="H11" s="5" t="s">
        <v>25</v>
      </c>
      <c r="I11" s="5" t="s">
        <v>51</v>
      </c>
      <c r="J11" s="5"/>
      <c r="K11" s="6"/>
      <c r="L11" s="3"/>
      <c r="M11" s="3" t="s">
        <v>52</v>
      </c>
      <c r="N11" s="3"/>
      <c r="O11" s="7">
        <v>45264</v>
      </c>
      <c r="P11" s="7"/>
      <c r="Q11" s="7"/>
      <c r="R11" s="7">
        <v>45264</v>
      </c>
      <c r="S11" s="9" t="str" cm="1">
        <f t="array" aca="1" ref="S11" ca="1">IF(O11="","Sem prazo",(_xlfn.IFS((AND(R11="",O11&lt;=$M$1)),"Atrasada",AND(OR(R11="",R11&gt;=$M$1),O11&gt;$M$1),"Em andamento",R11="Cancelada","Cancelada",(OR(R11&lt;&gt;"",R11&lt;&gt;"Cancelada")),"Concluída")))</f>
        <v>Concluída</v>
      </c>
      <c r="T11" s="5"/>
      <c r="U11" s="10"/>
      <c r="V11" s="10" t="e">
        <f>_xlfn.XLOOKUP(O11,#REF!,#REF!)</f>
        <v>#REF!</v>
      </c>
      <c r="W11" s="10" t="e">
        <f>_xlfn.XLOOKUP(R11,#REF!,#REF!)</f>
        <v>#REF!</v>
      </c>
    </row>
    <row r="12" spans="2:23" ht="29" x14ac:dyDescent="0.35">
      <c r="B12" s="3">
        <v>10</v>
      </c>
      <c r="C12" s="3" t="s">
        <v>20</v>
      </c>
      <c r="D12" s="4" t="s">
        <v>50</v>
      </c>
      <c r="E12" s="4" t="s">
        <v>22</v>
      </c>
      <c r="F12" s="5" t="s">
        <v>23</v>
      </c>
      <c r="G12" s="5" t="s">
        <v>24</v>
      </c>
      <c r="H12" s="5" t="s">
        <v>25</v>
      </c>
      <c r="I12" s="5" t="s">
        <v>53</v>
      </c>
      <c r="J12" s="5"/>
      <c r="K12" s="6"/>
      <c r="L12" s="3"/>
      <c r="M12" s="3" t="s">
        <v>30</v>
      </c>
      <c r="N12" s="3"/>
      <c r="O12" s="7">
        <v>45282</v>
      </c>
      <c r="P12" s="7"/>
      <c r="Q12" s="7"/>
      <c r="R12" s="7">
        <v>45281</v>
      </c>
      <c r="S12" s="9" t="str" cm="1">
        <f t="array" aca="1" ref="S12" ca="1">IF(O12="","Sem prazo",(_xlfn.IFS((AND(R12="",O12&lt;=$M$1)),"Atrasada",AND(OR(R12="",R12&gt;=$M$1),O12&gt;$M$1),"Em andamento",R12="Cancelada","Cancelada",(OR(R12&lt;&gt;"",R12&lt;&gt;"Cancelada")),"Concluída")))</f>
        <v>Concluída</v>
      </c>
      <c r="T12" s="20"/>
      <c r="U12" s="23"/>
      <c r="V12" s="10" t="e">
        <f>_xlfn.XLOOKUP(O12,#REF!,#REF!)</f>
        <v>#REF!</v>
      </c>
      <c r="W12" s="10" t="e">
        <f>_xlfn.XLOOKUP(R12,#REF!,#REF!)</f>
        <v>#REF!</v>
      </c>
    </row>
    <row r="13" spans="2:23" ht="29" x14ac:dyDescent="0.35">
      <c r="B13" s="3">
        <v>11</v>
      </c>
      <c r="C13" s="3" t="s">
        <v>20</v>
      </c>
      <c r="D13" s="4" t="s">
        <v>50</v>
      </c>
      <c r="E13" s="4" t="s">
        <v>22</v>
      </c>
      <c r="F13" s="5" t="s">
        <v>23</v>
      </c>
      <c r="G13" s="5" t="s">
        <v>24</v>
      </c>
      <c r="H13" s="5" t="s">
        <v>45</v>
      </c>
      <c r="I13" s="5" t="s">
        <v>54</v>
      </c>
      <c r="J13" s="5"/>
      <c r="K13" s="6"/>
      <c r="L13" s="3"/>
      <c r="M13" s="3" t="s">
        <v>30</v>
      </c>
      <c r="N13" s="3"/>
      <c r="O13" s="7">
        <v>45282</v>
      </c>
      <c r="P13" s="7"/>
      <c r="Q13" s="7"/>
      <c r="R13" s="7">
        <v>45281</v>
      </c>
      <c r="S13" s="9" t="str" cm="1">
        <f t="array" aca="1" ref="S13" ca="1">IF(O13="","Sem prazo",(_xlfn.IFS((AND(R13="",O13&lt;=$M$1)),"Atrasada",AND(OR(R13="",R13&gt;=$M$1),O13&gt;$M$1),"Em andamento",R13="Cancelada","Cancelada",(OR(R13&lt;&gt;"",R13&lt;&gt;"Cancelada")),"Concluída")))</f>
        <v>Concluída</v>
      </c>
      <c r="T13" s="11"/>
      <c r="U13" s="10"/>
      <c r="V13" s="10" t="e">
        <f>_xlfn.XLOOKUP(O13,#REF!,#REF!)</f>
        <v>#REF!</v>
      </c>
      <c r="W13" s="10" t="e">
        <f>_xlfn.XLOOKUP(R13,#REF!,#REF!)</f>
        <v>#REF!</v>
      </c>
    </row>
    <row r="14" spans="2:23" ht="29" x14ac:dyDescent="0.35">
      <c r="B14" s="3">
        <v>12</v>
      </c>
      <c r="C14" s="3" t="s">
        <v>20</v>
      </c>
      <c r="D14" s="4" t="s">
        <v>39</v>
      </c>
      <c r="E14" s="4" t="s">
        <v>36</v>
      </c>
      <c r="F14" s="5" t="s">
        <v>23</v>
      </c>
      <c r="G14" s="5" t="s">
        <v>24</v>
      </c>
      <c r="H14" s="5" t="s">
        <v>25</v>
      </c>
      <c r="I14" s="5" t="s">
        <v>51</v>
      </c>
      <c r="J14" s="5"/>
      <c r="K14" s="6"/>
      <c r="L14" s="3"/>
      <c r="M14" s="3" t="s">
        <v>52</v>
      </c>
      <c r="N14" s="3"/>
      <c r="O14" s="7">
        <v>45264</v>
      </c>
      <c r="P14" s="7"/>
      <c r="Q14" s="7"/>
      <c r="R14" s="7">
        <v>45264</v>
      </c>
      <c r="S14" s="9" t="str" cm="1">
        <f t="array" aca="1" ref="S14" ca="1">IF(O14="","Sem prazo",(_xlfn.IFS((AND(R14="",O14&lt;=$M$1)),"Atrasada",AND(OR(R14="",R14&gt;=$M$1),O14&gt;$M$1),"Em andamento",R14="Cancelada","Cancelada",(OR(R14&lt;&gt;"",R14&lt;&gt;"Cancelada")),"Concluída")))</f>
        <v>Concluída</v>
      </c>
      <c r="T14" s="11"/>
      <c r="U14" s="10"/>
      <c r="V14" s="10" t="e">
        <f>_xlfn.XLOOKUP(O14,#REF!,#REF!)</f>
        <v>#REF!</v>
      </c>
      <c r="W14" s="10" t="e">
        <f>_xlfn.XLOOKUP(R14,#REF!,#REF!)</f>
        <v>#REF!</v>
      </c>
    </row>
    <row r="15" spans="2:23" ht="29" x14ac:dyDescent="0.35">
      <c r="B15" s="3">
        <v>13</v>
      </c>
      <c r="C15" s="3" t="s">
        <v>20</v>
      </c>
      <c r="D15" s="4" t="s">
        <v>39</v>
      </c>
      <c r="E15" s="4" t="s">
        <v>36</v>
      </c>
      <c r="F15" s="5" t="s">
        <v>23</v>
      </c>
      <c r="G15" s="5" t="s">
        <v>24</v>
      </c>
      <c r="H15" s="5" t="s">
        <v>25</v>
      </c>
      <c r="I15" s="5" t="s">
        <v>53</v>
      </c>
      <c r="J15" s="5"/>
      <c r="K15" s="6"/>
      <c r="L15" s="3"/>
      <c r="M15" s="3" t="s">
        <v>30</v>
      </c>
      <c r="N15" s="3"/>
      <c r="O15" s="7">
        <v>45282</v>
      </c>
      <c r="P15" s="7"/>
      <c r="Q15" s="7"/>
      <c r="R15" s="7">
        <v>45281</v>
      </c>
      <c r="S15" s="9" t="str" cm="1">
        <f t="array" aca="1" ref="S15" ca="1">IF(O15="","Sem prazo",(_xlfn.IFS((AND(R15="",O15&lt;=$M$1)),"Atrasada",AND(OR(R15="",R15&gt;=$M$1),O15&gt;$M$1),"Em andamento",R15="Cancelada","Cancelada",(OR(R15&lt;&gt;"",R15&lt;&gt;"Cancelada")),"Concluída")))</f>
        <v>Concluída</v>
      </c>
      <c r="T15" s="11"/>
      <c r="U15" s="10"/>
      <c r="V15" s="10" t="e">
        <f>_xlfn.XLOOKUP(O15,#REF!,#REF!)</f>
        <v>#REF!</v>
      </c>
      <c r="W15" s="10" t="e">
        <f>_xlfn.XLOOKUP(R15,#REF!,#REF!)</f>
        <v>#REF!</v>
      </c>
    </row>
    <row r="16" spans="2:23" ht="29" x14ac:dyDescent="0.35">
      <c r="B16" s="3">
        <v>14</v>
      </c>
      <c r="C16" s="3" t="s">
        <v>20</v>
      </c>
      <c r="D16" s="4" t="s">
        <v>39</v>
      </c>
      <c r="E16" s="4" t="s">
        <v>36</v>
      </c>
      <c r="F16" s="5" t="s">
        <v>23</v>
      </c>
      <c r="G16" s="5" t="s">
        <v>24</v>
      </c>
      <c r="H16" s="5" t="s">
        <v>45</v>
      </c>
      <c r="I16" s="5" t="s">
        <v>54</v>
      </c>
      <c r="J16" s="5"/>
      <c r="K16" s="6"/>
      <c r="L16" s="3"/>
      <c r="M16" s="3" t="s">
        <v>30</v>
      </c>
      <c r="N16" s="3"/>
      <c r="O16" s="7">
        <v>45282</v>
      </c>
      <c r="P16" s="7"/>
      <c r="Q16" s="7"/>
      <c r="R16" s="7">
        <v>45281</v>
      </c>
      <c r="S16" s="9" t="str" cm="1">
        <f t="array" aca="1" ref="S16" ca="1">IF(O16="","Sem prazo",(_xlfn.IFS((AND(R16="",O16&lt;=$M$1)),"Atrasada",AND(OR(R16="",R16&gt;=$M$1),O16&gt;$M$1),"Em andamento",R16="Cancelada","Cancelada",(OR(R16&lt;&gt;"",R16&lt;&gt;"Cancelada")),"Concluída")))</f>
        <v>Concluída</v>
      </c>
      <c r="T16" s="11"/>
      <c r="U16" s="10"/>
      <c r="V16" s="10" t="e">
        <f>_xlfn.XLOOKUP(O16,#REF!,#REF!)</f>
        <v>#REF!</v>
      </c>
      <c r="W16" s="10" t="e">
        <f>_xlfn.XLOOKUP(R16,#REF!,#REF!)</f>
        <v>#REF!</v>
      </c>
    </row>
    <row r="17" spans="2:23" ht="29" x14ac:dyDescent="0.35">
      <c r="B17" s="3">
        <v>15</v>
      </c>
      <c r="C17" s="3" t="s">
        <v>20</v>
      </c>
      <c r="D17" s="4" t="s">
        <v>31</v>
      </c>
      <c r="E17" s="4" t="s">
        <v>32</v>
      </c>
      <c r="F17" s="5" t="s">
        <v>55</v>
      </c>
      <c r="G17" s="29" t="s">
        <v>34</v>
      </c>
      <c r="H17" s="5" t="s">
        <v>25</v>
      </c>
      <c r="I17" s="5" t="s">
        <v>56</v>
      </c>
      <c r="J17" s="5"/>
      <c r="K17" s="6"/>
      <c r="L17" s="3"/>
      <c r="M17" s="3" t="s">
        <v>57</v>
      </c>
      <c r="N17" s="3"/>
      <c r="O17" s="7">
        <v>45381</v>
      </c>
      <c r="P17" s="7"/>
      <c r="Q17" s="7"/>
      <c r="R17" s="7">
        <v>45383</v>
      </c>
      <c r="S17" s="9" t="str" cm="1">
        <f t="array" aca="1" ref="S17" ca="1">IF(O17="","Sem prazo",(_xlfn.IFS((AND(R17="",O17&lt;=$M$1)),"Atrasada",AND(OR(R17="",R17&gt;=$M$1),O17&gt;$M$1),"Em andamento",R17="Cancelada","Cancelada",(OR(R17&lt;&gt;"",R17&lt;&gt;"Cancelada")),"Concluída")))</f>
        <v>Concluída</v>
      </c>
      <c r="T17" s="11"/>
      <c r="U17" s="10" t="s">
        <v>58</v>
      </c>
      <c r="V17" s="10" t="e">
        <f>_xlfn.XLOOKUP(O17,#REF!,#REF!)</f>
        <v>#REF!</v>
      </c>
      <c r="W17" s="10"/>
    </row>
    <row r="18" spans="2:23" ht="29" x14ac:dyDescent="0.35">
      <c r="B18" s="3">
        <v>16</v>
      </c>
      <c r="C18" s="3" t="s">
        <v>20</v>
      </c>
      <c r="D18" s="4" t="s">
        <v>31</v>
      </c>
      <c r="E18" s="4" t="s">
        <v>32</v>
      </c>
      <c r="F18" s="5" t="s">
        <v>55</v>
      </c>
      <c r="G18" s="26" t="s">
        <v>34</v>
      </c>
      <c r="H18" s="5" t="s">
        <v>25</v>
      </c>
      <c r="I18" s="5" t="s">
        <v>59</v>
      </c>
      <c r="J18" s="5"/>
      <c r="K18" s="6"/>
      <c r="L18" s="3"/>
      <c r="M18" s="3" t="s">
        <v>57</v>
      </c>
      <c r="N18" s="3"/>
      <c r="O18" s="7">
        <v>45381</v>
      </c>
      <c r="P18" s="7"/>
      <c r="Q18" s="7"/>
      <c r="R18" s="7">
        <v>45383</v>
      </c>
      <c r="S18" s="9" t="str" cm="1">
        <f t="array" aca="1" ref="S18" ca="1">IF(O18="","Sem prazo",(_xlfn.IFS((AND(R18="",O18&lt;=$M$1)),"Atrasada",AND(OR(R18="",R18&gt;=$M$1),O18&gt;$M$1),"Em andamento",R18="Cancelada","Cancelada",(OR(R18&lt;&gt;"",R18&lt;&gt;"Cancelada")),"Concluída")))</f>
        <v>Concluída</v>
      </c>
      <c r="T18" s="11"/>
      <c r="U18" s="10" t="s">
        <v>58</v>
      </c>
      <c r="V18" s="10" t="e">
        <f>_xlfn.XLOOKUP(O18,#REF!,#REF!)</f>
        <v>#REF!</v>
      </c>
      <c r="W18" s="10"/>
    </row>
    <row r="19" spans="2:23" ht="43.5" x14ac:dyDescent="0.35">
      <c r="B19" s="3">
        <v>17</v>
      </c>
      <c r="C19" s="3" t="s">
        <v>20</v>
      </c>
      <c r="D19" s="4" t="s">
        <v>35</v>
      </c>
      <c r="E19" s="4" t="s">
        <v>36</v>
      </c>
      <c r="F19" s="5" t="s">
        <v>37</v>
      </c>
      <c r="G19" s="5" t="s">
        <v>38</v>
      </c>
      <c r="H19" s="5" t="s">
        <v>25</v>
      </c>
      <c r="I19" s="5" t="s">
        <v>60</v>
      </c>
      <c r="J19" s="5"/>
      <c r="K19" s="6"/>
      <c r="L19" s="3"/>
      <c r="M19" s="3" t="s">
        <v>27</v>
      </c>
      <c r="N19" s="3"/>
      <c r="O19" s="7">
        <v>45282</v>
      </c>
      <c r="P19" s="7"/>
      <c r="Q19" s="7"/>
      <c r="R19" s="7">
        <v>45282</v>
      </c>
      <c r="S19" s="9" t="str" cm="1">
        <f t="array" aca="1" ref="S19" ca="1">IF(O19="","Sem prazo",(_xlfn.IFS((AND(R19="",O19&lt;=$M$1)),"Atrasada",AND(OR(R19="",R19&gt;=$M$1),O19&gt;$M$1),"Em andamento",R19="Cancelada","Cancelada",(OR(R19&lt;&gt;"",R19&lt;&gt;"Cancelada")),"Concluída")))</f>
        <v>Concluída</v>
      </c>
      <c r="T19" s="11"/>
      <c r="U19" s="10"/>
      <c r="V19" s="10" t="e">
        <f>_xlfn.XLOOKUP(O19,#REF!,#REF!)</f>
        <v>#REF!</v>
      </c>
      <c r="W19" s="10" t="e">
        <f>_xlfn.XLOOKUP(R19,#REF!,#REF!)</f>
        <v>#REF!</v>
      </c>
    </row>
    <row r="20" spans="2:23" ht="29" x14ac:dyDescent="0.35">
      <c r="B20" s="3">
        <v>18</v>
      </c>
      <c r="C20" s="3" t="s">
        <v>20</v>
      </c>
      <c r="D20" s="4" t="s">
        <v>35</v>
      </c>
      <c r="E20" s="4" t="s">
        <v>36</v>
      </c>
      <c r="F20" s="5" t="s">
        <v>37</v>
      </c>
      <c r="G20" s="5" t="s">
        <v>38</v>
      </c>
      <c r="H20" s="5" t="s">
        <v>45</v>
      </c>
      <c r="I20" s="5" t="s">
        <v>61</v>
      </c>
      <c r="J20" s="5"/>
      <c r="K20" s="6"/>
      <c r="L20" s="3"/>
      <c r="M20" s="3" t="s">
        <v>30</v>
      </c>
      <c r="N20" s="3"/>
      <c r="O20" s="7">
        <v>45282</v>
      </c>
      <c r="P20" s="7"/>
      <c r="Q20" s="7"/>
      <c r="R20" s="7">
        <v>45282</v>
      </c>
      <c r="S20" s="9" t="str" cm="1">
        <f t="array" aca="1" ref="S20" ca="1">IF(O20="","Sem prazo",(_xlfn.IFS((AND(R20="",O20&lt;=$M$1)),"Atrasada",AND(OR(R20="",R20&gt;=$M$1),O20&gt;$M$1),"Em andamento",R20="Cancelada","Cancelada",(OR(R20&lt;&gt;"",R20&lt;&gt;"Cancelada")),"Concluída")))</f>
        <v>Concluída</v>
      </c>
      <c r="T20" s="11"/>
      <c r="U20" s="22"/>
      <c r="V20" s="10" t="e">
        <f>_xlfn.XLOOKUP(O20,#REF!,#REF!)</f>
        <v>#REF!</v>
      </c>
      <c r="W20" s="10" t="e">
        <f>_xlfn.XLOOKUP(R20,#REF!,#REF!)</f>
        <v>#REF!</v>
      </c>
    </row>
    <row r="21" spans="2:23" ht="29" x14ac:dyDescent="0.35">
      <c r="B21" s="3">
        <v>19</v>
      </c>
      <c r="C21" s="3" t="s">
        <v>20</v>
      </c>
      <c r="D21" s="4" t="s">
        <v>21</v>
      </c>
      <c r="E21" s="4" t="s">
        <v>22</v>
      </c>
      <c r="F21" s="5" t="s">
        <v>23</v>
      </c>
      <c r="G21" s="5" t="s">
        <v>62</v>
      </c>
      <c r="H21" s="5" t="s">
        <v>45</v>
      </c>
      <c r="I21" s="5" t="s">
        <v>63</v>
      </c>
      <c r="J21" s="5"/>
      <c r="K21" s="6"/>
      <c r="L21" s="3"/>
      <c r="M21" s="3" t="s">
        <v>52</v>
      </c>
      <c r="N21" s="3"/>
      <c r="O21" s="7">
        <v>45286</v>
      </c>
      <c r="P21" s="7"/>
      <c r="Q21" s="7"/>
      <c r="R21" s="8">
        <v>45286</v>
      </c>
      <c r="S21" s="9" t="str" cm="1">
        <f t="array" aca="1" ref="S21" ca="1">IF(O21="","Sem prazo",(_xlfn.IFS((AND(R21="",O21&lt;=$M$1)),"Atrasada",AND(OR(R21="",R21&gt;=$M$1),O21&gt;$M$1),"Em andamento",R21="Cancelada","Cancelada",(OR(R21&lt;&gt;"",R21&lt;&gt;"Cancelada")),"Concluída")))</f>
        <v>Concluída</v>
      </c>
      <c r="T21" s="11"/>
      <c r="U21" s="10"/>
      <c r="V21" s="10" t="e">
        <f>_xlfn.XLOOKUP(O21,#REF!,#REF!)</f>
        <v>#REF!</v>
      </c>
      <c r="W21" s="10" t="e">
        <f>_xlfn.XLOOKUP(R21,#REF!,#REF!)</f>
        <v>#REF!</v>
      </c>
    </row>
    <row r="22" spans="2:23" ht="29" x14ac:dyDescent="0.35">
      <c r="B22" s="3">
        <v>20</v>
      </c>
      <c r="C22" s="3" t="s">
        <v>20</v>
      </c>
      <c r="D22" s="4" t="s">
        <v>64</v>
      </c>
      <c r="E22" s="4" t="s">
        <v>65</v>
      </c>
      <c r="F22" s="5" t="s">
        <v>33</v>
      </c>
      <c r="G22" s="5" t="s">
        <v>66</v>
      </c>
      <c r="H22" s="5" t="s">
        <v>45</v>
      </c>
      <c r="I22" s="5" t="s">
        <v>67</v>
      </c>
      <c r="J22" s="5"/>
      <c r="K22" s="6"/>
      <c r="L22" s="3"/>
      <c r="M22" s="3" t="s">
        <v>68</v>
      </c>
      <c r="N22" s="3"/>
      <c r="O22" s="7">
        <v>45289</v>
      </c>
      <c r="P22" s="7"/>
      <c r="Q22" s="7"/>
      <c r="R22" s="8">
        <v>45289</v>
      </c>
      <c r="S22" s="9" t="str" cm="1">
        <f t="array" aca="1" ref="S22" ca="1">IF(O22="","Sem prazo",(_xlfn.IFS((AND(R22="",O22&lt;=$M$1)),"Atrasada",AND(OR(R22="",R22&gt;=$M$1),O22&gt;$M$1),"Em andamento",R22="Cancelada","Cancelada",(OR(R22&lt;&gt;"",R22&lt;&gt;"Cancelada")),"Concluída")))</f>
        <v>Concluída</v>
      </c>
      <c r="T22" s="11"/>
      <c r="U22" s="10" t="s">
        <v>69</v>
      </c>
      <c r="V22" s="10" t="e">
        <f>_xlfn.XLOOKUP(O22,#REF!,#REF!)</f>
        <v>#REF!</v>
      </c>
      <c r="W22" s="10" t="e">
        <f>_xlfn.XLOOKUP(R22,#REF!,#REF!)</f>
        <v>#REF!</v>
      </c>
    </row>
    <row r="23" spans="2:23" ht="29" x14ac:dyDescent="0.35">
      <c r="B23" s="3">
        <v>21</v>
      </c>
      <c r="C23" s="3" t="s">
        <v>20</v>
      </c>
      <c r="D23" s="4" t="s">
        <v>70</v>
      </c>
      <c r="E23" s="4" t="s">
        <v>71</v>
      </c>
      <c r="F23" s="5" t="s">
        <v>72</v>
      </c>
      <c r="G23" s="5" t="s">
        <v>73</v>
      </c>
      <c r="H23" s="5" t="s">
        <v>45</v>
      </c>
      <c r="I23" s="5" t="s">
        <v>74</v>
      </c>
      <c r="J23" s="5"/>
      <c r="K23" s="6"/>
      <c r="L23" s="3"/>
      <c r="M23" s="3" t="s">
        <v>30</v>
      </c>
      <c r="N23" s="3"/>
      <c r="O23" s="7">
        <v>45289</v>
      </c>
      <c r="P23" s="7"/>
      <c r="Q23" s="7"/>
      <c r="R23" s="8">
        <v>45289</v>
      </c>
      <c r="S23" s="9" t="str" cm="1">
        <f t="array" aca="1" ref="S23" ca="1">IF(O23="","Sem prazo",(_xlfn.IFS((AND(R23="",O23&lt;=$M$1)),"Atrasada",AND(OR(R23="",R23&gt;=$M$1),O23&gt;$M$1),"Em andamento",R23="Cancelada","Cancelada",(OR(R23&lt;&gt;"",R23&lt;&gt;"Cancelada")),"Concluída")))</f>
        <v>Concluída</v>
      </c>
      <c r="T23" s="11"/>
      <c r="U23" s="10"/>
      <c r="V23" s="10" t="e">
        <f>_xlfn.XLOOKUP(O23,#REF!,#REF!)</f>
        <v>#REF!</v>
      </c>
      <c r="W23" s="10" t="e">
        <f>_xlfn.XLOOKUP(R23,#REF!,#REF!)</f>
        <v>#REF!</v>
      </c>
    </row>
    <row r="24" spans="2:23" ht="29" x14ac:dyDescent="0.35">
      <c r="B24" s="3">
        <v>22</v>
      </c>
      <c r="C24" s="3" t="s">
        <v>20</v>
      </c>
      <c r="D24" s="4" t="s">
        <v>75</v>
      </c>
      <c r="E24" s="4" t="s">
        <v>71</v>
      </c>
      <c r="F24" s="5" t="s">
        <v>72</v>
      </c>
      <c r="G24" s="5" t="s">
        <v>76</v>
      </c>
      <c r="H24" s="5" t="s">
        <v>45</v>
      </c>
      <c r="I24" s="5" t="s">
        <v>77</v>
      </c>
      <c r="J24" s="5"/>
      <c r="K24" s="6"/>
      <c r="L24" s="3"/>
      <c r="M24" s="3" t="s">
        <v>78</v>
      </c>
      <c r="N24" s="3"/>
      <c r="O24" s="7">
        <v>45299</v>
      </c>
      <c r="P24" s="7"/>
      <c r="Q24" s="7"/>
      <c r="R24" s="8">
        <v>45302</v>
      </c>
      <c r="S24" s="9" t="str" cm="1">
        <f t="array" aca="1" ref="S24" ca="1">IF(O24="","Sem prazo",(_xlfn.IFS((AND(R24="",O24&lt;=$M$1)),"Atrasada",AND(OR(R24="",R24&gt;=$M$1),O24&gt;$M$1),"Em andamento",R24="Cancelada","Cancelada",(OR(R24&lt;&gt;"",R24&lt;&gt;"Cancelada")),"Concluída")))</f>
        <v>Concluída</v>
      </c>
      <c r="T24" s="11"/>
      <c r="U24" s="10" t="s">
        <v>79</v>
      </c>
      <c r="V24" s="10" t="e">
        <f>_xlfn.XLOOKUP(O24,#REF!,#REF!)</f>
        <v>#REF!</v>
      </c>
      <c r="W24" s="10" t="e">
        <f>_xlfn.XLOOKUP(R24,#REF!,#REF!)</f>
        <v>#REF!</v>
      </c>
    </row>
    <row r="25" spans="2:23" ht="29" x14ac:dyDescent="0.35">
      <c r="B25" s="3">
        <v>23</v>
      </c>
      <c r="C25" s="3" t="s">
        <v>20</v>
      </c>
      <c r="D25" s="4" t="s">
        <v>33</v>
      </c>
      <c r="E25" s="4" t="s">
        <v>33</v>
      </c>
      <c r="F25" s="5" t="s">
        <v>72</v>
      </c>
      <c r="G25" s="5" t="s">
        <v>80</v>
      </c>
      <c r="H25" s="5" t="s">
        <v>25</v>
      </c>
      <c r="I25" s="5" t="s">
        <v>81</v>
      </c>
      <c r="J25" s="5"/>
      <c r="K25" s="6"/>
      <c r="L25" s="3"/>
      <c r="M25" s="3" t="s">
        <v>30</v>
      </c>
      <c r="N25" s="3"/>
      <c r="O25" s="7">
        <v>45294</v>
      </c>
      <c r="P25" s="7"/>
      <c r="Q25" s="7"/>
      <c r="R25" s="8">
        <v>45296</v>
      </c>
      <c r="S25" s="9" t="str" cm="1">
        <f t="array" aca="1" ref="S25" ca="1">IF(O25="","Sem prazo",(_xlfn.IFS((AND(R25="",O25&lt;=$M$1)),"Atrasada",AND(OR(R25="",R25&gt;=$M$1),O25&gt;$M$1),"Em andamento",R25="Cancelada","Cancelada",(OR(R25&lt;&gt;"",R25&lt;&gt;"Cancelada")),"Concluída")))</f>
        <v>Concluída</v>
      </c>
      <c r="T25" s="11"/>
      <c r="U25" s="10" t="s">
        <v>82</v>
      </c>
      <c r="V25" s="10" t="e">
        <f>_xlfn.XLOOKUP(O25,#REF!,#REF!)</f>
        <v>#REF!</v>
      </c>
      <c r="W25" s="10" t="e">
        <f>_xlfn.XLOOKUP(R25,#REF!,#REF!)</f>
        <v>#REF!</v>
      </c>
    </row>
    <row r="26" spans="2:23" ht="29" x14ac:dyDescent="0.35">
      <c r="B26" s="3">
        <v>23</v>
      </c>
      <c r="C26" s="3" t="s">
        <v>20</v>
      </c>
      <c r="D26" s="4" t="s">
        <v>83</v>
      </c>
      <c r="E26" s="4" t="s">
        <v>84</v>
      </c>
      <c r="F26" s="5" t="s">
        <v>85</v>
      </c>
      <c r="G26" s="5" t="s">
        <v>86</v>
      </c>
      <c r="H26" s="5" t="s">
        <v>25</v>
      </c>
      <c r="I26" s="5" t="s">
        <v>87</v>
      </c>
      <c r="J26" s="5"/>
      <c r="K26" s="6"/>
      <c r="L26" s="3"/>
      <c r="M26" s="3" t="s">
        <v>52</v>
      </c>
      <c r="N26" s="3"/>
      <c r="O26" s="7">
        <v>45289</v>
      </c>
      <c r="P26" s="7"/>
      <c r="Q26" s="7"/>
      <c r="R26" s="8">
        <v>45289</v>
      </c>
      <c r="S26" s="9" t="str" cm="1">
        <f t="array" aca="1" ref="S26" ca="1">IF(O26="","Sem prazo",(_xlfn.IFS((AND(R26="",O26&lt;=$M$1)),"Atrasada",AND(OR(R26="",R26&gt;=$M$1),O26&gt;$M$1),"Em andamento",R26="Cancelada","Cancelada",(OR(R26&lt;&gt;"",R26&lt;&gt;"Cancelada")),"Concluída")))</f>
        <v>Concluída</v>
      </c>
      <c r="T26" s="11"/>
      <c r="U26" s="10"/>
      <c r="V26" s="10" t="e">
        <f>_xlfn.XLOOKUP(O26,#REF!,#REF!)</f>
        <v>#REF!</v>
      </c>
      <c r="W26" s="10" t="e">
        <f>_xlfn.XLOOKUP(R26,#REF!,#REF!)</f>
        <v>#REF!</v>
      </c>
    </row>
    <row r="27" spans="2:23" ht="29" x14ac:dyDescent="0.35">
      <c r="B27" s="3">
        <v>24</v>
      </c>
      <c r="C27" s="3" t="s">
        <v>20</v>
      </c>
      <c r="D27" s="4" t="s">
        <v>88</v>
      </c>
      <c r="E27" s="4" t="s">
        <v>84</v>
      </c>
      <c r="F27" s="5" t="s">
        <v>85</v>
      </c>
      <c r="G27" s="5" t="s">
        <v>86</v>
      </c>
      <c r="H27" s="5" t="s">
        <v>25</v>
      </c>
      <c r="I27" s="5" t="s">
        <v>89</v>
      </c>
      <c r="J27" s="5"/>
      <c r="K27" s="6"/>
      <c r="L27" s="3"/>
      <c r="M27" s="3" t="s">
        <v>52</v>
      </c>
      <c r="N27" s="3"/>
      <c r="O27" s="7">
        <v>45322</v>
      </c>
      <c r="P27" s="7"/>
      <c r="Q27" s="7"/>
      <c r="R27" s="7">
        <v>45293</v>
      </c>
      <c r="S27" s="9" t="str" cm="1">
        <f t="array" aca="1" ref="S27" ca="1">IF(O27="","Sem prazo",(_xlfn.IFS((AND(R27="",O27&lt;=$M$1)),"Atrasada",AND(OR(R27="",R27&gt;=$M$1),O27&gt;$M$1),"Em andamento",R27="Cancelada","Cancelada",(OR(R27&lt;&gt;"",R27&lt;&gt;"Cancelada")),"Concluída")))</f>
        <v>Concluída</v>
      </c>
      <c r="T27" s="11"/>
      <c r="U27" s="10"/>
      <c r="V27" s="10" t="e">
        <f>_xlfn.XLOOKUP(O27,#REF!,#REF!)</f>
        <v>#REF!</v>
      </c>
      <c r="W27" s="10" t="e">
        <f>_xlfn.XLOOKUP(R27,#REF!,#REF!)</f>
        <v>#REF!</v>
      </c>
    </row>
    <row r="28" spans="2:23" ht="29" x14ac:dyDescent="0.35">
      <c r="B28" s="3">
        <v>25</v>
      </c>
      <c r="C28" s="3" t="s">
        <v>20</v>
      </c>
      <c r="D28" s="4" t="s">
        <v>90</v>
      </c>
      <c r="E28" s="4" t="s">
        <v>91</v>
      </c>
      <c r="F28" s="5" t="s">
        <v>92</v>
      </c>
      <c r="G28" s="5" t="s">
        <v>93</v>
      </c>
      <c r="H28" s="5" t="s">
        <v>45</v>
      </c>
      <c r="I28" s="5" t="s">
        <v>94</v>
      </c>
      <c r="J28" s="5"/>
      <c r="K28" s="6"/>
      <c r="L28" s="3"/>
      <c r="M28" s="3" t="s">
        <v>43</v>
      </c>
      <c r="N28" s="3"/>
      <c r="O28" s="8">
        <v>45294</v>
      </c>
      <c r="P28" s="8"/>
      <c r="Q28" s="8"/>
      <c r="R28" s="8">
        <v>45294</v>
      </c>
      <c r="S28" s="9" t="str" cm="1">
        <f t="array" aca="1" ref="S28" ca="1">IF(O28="","Sem prazo",(_xlfn.IFS((AND(R28="",O28&lt;=$M$1)),"Atrasada",AND(OR(R28="",R28&gt;=$M$1),O28&gt;$M$1),"Em andamento",R28="Cancelada","Cancelada",(OR(R28&lt;&gt;"",R28&lt;&gt;"Cancelada")),"Concluída")))</f>
        <v>Concluída</v>
      </c>
      <c r="T28" s="11"/>
      <c r="U28" s="10"/>
      <c r="V28" s="10" t="e">
        <f>_xlfn.XLOOKUP(O28,#REF!,#REF!)</f>
        <v>#REF!</v>
      </c>
      <c r="W28" s="10" t="e">
        <f>_xlfn.XLOOKUP(R28,#REF!,#REF!)</f>
        <v>#REF!</v>
      </c>
    </row>
    <row r="29" spans="2:23" ht="29" x14ac:dyDescent="0.35">
      <c r="B29" s="3">
        <v>26</v>
      </c>
      <c r="C29" s="3" t="s">
        <v>20</v>
      </c>
      <c r="D29" s="4" t="s">
        <v>90</v>
      </c>
      <c r="E29" s="4" t="s">
        <v>91</v>
      </c>
      <c r="F29" s="5" t="s">
        <v>92</v>
      </c>
      <c r="G29" s="5" t="s">
        <v>93</v>
      </c>
      <c r="H29" s="5" t="s">
        <v>45</v>
      </c>
      <c r="I29" s="5" t="s">
        <v>95</v>
      </c>
      <c r="J29" s="5"/>
      <c r="K29" s="6"/>
      <c r="L29" s="3"/>
      <c r="M29" s="3" t="s">
        <v>68</v>
      </c>
      <c r="N29" s="3"/>
      <c r="O29" s="7">
        <v>45296</v>
      </c>
      <c r="P29" s="7"/>
      <c r="Q29" s="7"/>
      <c r="R29" s="8">
        <v>45295</v>
      </c>
      <c r="S29" s="9" t="str" cm="1">
        <f t="array" aca="1" ref="S29" ca="1">IF(O29="","Sem prazo",(_xlfn.IFS((AND(R29="",O29&lt;=$M$1)),"Atrasada",AND(OR(R29="",R29&gt;=$M$1),O29&gt;$M$1),"Em andamento",R29="Cancelada","Cancelada",(OR(R29&lt;&gt;"",R29&lt;&gt;"Cancelada")),"Concluída")))</f>
        <v>Concluída</v>
      </c>
      <c r="T29" s="11"/>
      <c r="U29" s="10"/>
      <c r="V29" s="10" t="e">
        <f>_xlfn.XLOOKUP(O29,#REF!,#REF!)</f>
        <v>#REF!</v>
      </c>
      <c r="W29" s="10" t="e">
        <f>_xlfn.XLOOKUP(R29,#REF!,#REF!)</f>
        <v>#REF!</v>
      </c>
    </row>
    <row r="30" spans="2:23" ht="29" x14ac:dyDescent="0.35">
      <c r="B30" s="3">
        <v>27</v>
      </c>
      <c r="C30" s="3" t="s">
        <v>20</v>
      </c>
      <c r="D30" s="4" t="s">
        <v>90</v>
      </c>
      <c r="E30" s="4" t="s">
        <v>91</v>
      </c>
      <c r="F30" s="5" t="s">
        <v>92</v>
      </c>
      <c r="G30" s="5" t="s">
        <v>93</v>
      </c>
      <c r="H30" s="5" t="s">
        <v>45</v>
      </c>
      <c r="I30" s="5" t="s">
        <v>96</v>
      </c>
      <c r="J30" s="5"/>
      <c r="K30" s="6"/>
      <c r="L30" s="3"/>
      <c r="M30" s="3" t="s">
        <v>97</v>
      </c>
      <c r="N30" s="3"/>
      <c r="O30" s="7">
        <v>45295</v>
      </c>
      <c r="P30" s="7"/>
      <c r="Q30" s="7"/>
      <c r="R30" s="8">
        <v>45295</v>
      </c>
      <c r="S30" s="9" t="str" cm="1">
        <f t="array" aca="1" ref="S30" ca="1">IF(O30="","Sem prazo",(_xlfn.IFS((AND(R30="",O30&lt;=$M$1)),"Atrasada",AND(OR(R30="",R30&gt;=$M$1),O30&gt;$M$1),"Em andamento",R30="Cancelada","Cancelada",(OR(R30&lt;&gt;"",R30&lt;&gt;"Cancelada")),"Concluída")))</f>
        <v>Concluída</v>
      </c>
      <c r="T30" s="11"/>
      <c r="U30" s="10"/>
      <c r="V30" s="10" t="e">
        <f>_xlfn.XLOOKUP(O30,#REF!,#REF!)</f>
        <v>#REF!</v>
      </c>
      <c r="W30" s="10" t="e">
        <f>_xlfn.XLOOKUP(R30,#REF!,#REF!)</f>
        <v>#REF!</v>
      </c>
    </row>
    <row r="31" spans="2:23" ht="29" x14ac:dyDescent="0.35">
      <c r="B31" s="3">
        <v>28</v>
      </c>
      <c r="C31" s="3" t="s">
        <v>20</v>
      </c>
      <c r="D31" s="4" t="s">
        <v>90</v>
      </c>
      <c r="E31" s="4" t="s">
        <v>91</v>
      </c>
      <c r="F31" s="5"/>
      <c r="G31" s="5" t="s">
        <v>93</v>
      </c>
      <c r="H31" s="5" t="s">
        <v>45</v>
      </c>
      <c r="I31" s="5" t="s">
        <v>98</v>
      </c>
      <c r="J31" s="5"/>
      <c r="K31" s="6"/>
      <c r="L31" s="3"/>
      <c r="M31" s="3" t="s">
        <v>97</v>
      </c>
      <c r="N31" s="3"/>
      <c r="O31" s="7">
        <v>45290</v>
      </c>
      <c r="P31" s="7"/>
      <c r="Q31" s="7"/>
      <c r="R31" s="7">
        <v>45290</v>
      </c>
      <c r="S31" s="9" t="str" cm="1">
        <f t="array" aca="1" ref="S31" ca="1">IF(O31="","Sem prazo",(_xlfn.IFS((AND(R31="",O31&lt;=$M$1)),"Atrasada",AND(OR(R31="",R31&gt;=$M$1),O31&gt;$M$1),"Em andamento",R31="Cancelada","Cancelada",(OR(R31&lt;&gt;"",R31&lt;&gt;"Cancelada")),"Concluída")))</f>
        <v>Concluída</v>
      </c>
      <c r="T31" s="11"/>
      <c r="U31" s="10"/>
      <c r="V31" s="10" t="e">
        <f>_xlfn.XLOOKUP(O31,#REF!,#REF!)</f>
        <v>#REF!</v>
      </c>
      <c r="W31" s="10" t="e">
        <f>_xlfn.XLOOKUP(R31,#REF!,#REF!)</f>
        <v>#REF!</v>
      </c>
    </row>
    <row r="32" spans="2:23" ht="29" x14ac:dyDescent="0.35">
      <c r="B32" s="3">
        <v>29</v>
      </c>
      <c r="C32" s="3" t="s">
        <v>20</v>
      </c>
      <c r="D32" s="4" t="s">
        <v>99</v>
      </c>
      <c r="E32" s="4" t="s">
        <v>100</v>
      </c>
      <c r="F32" s="5"/>
      <c r="G32" s="5" t="s">
        <v>101</v>
      </c>
      <c r="H32" s="5" t="s">
        <v>25</v>
      </c>
      <c r="I32" s="5" t="s">
        <v>102</v>
      </c>
      <c r="J32" s="5"/>
      <c r="K32" s="6"/>
      <c r="L32" s="3"/>
      <c r="M32" s="3" t="s">
        <v>30</v>
      </c>
      <c r="N32" s="3"/>
      <c r="O32" s="7">
        <v>45295</v>
      </c>
      <c r="P32" s="7"/>
      <c r="Q32" s="7"/>
      <c r="R32" s="8">
        <v>45295</v>
      </c>
      <c r="S32" s="9" t="str" cm="1">
        <f t="array" aca="1" ref="S32" ca="1">IF(O32="","Sem prazo",(_xlfn.IFS((AND(R32="",O32&lt;=$M$1)),"Atrasada",AND(OR(R32="",R32&gt;=$M$1),O32&gt;$M$1),"Em andamento",R32="Cancelada","Cancelada",(OR(R32&lt;&gt;"",R32&lt;&gt;"Cancelada")),"Concluída")))</f>
        <v>Concluída</v>
      </c>
      <c r="T32" s="11"/>
      <c r="U32" s="10"/>
      <c r="V32" s="10" t="e">
        <f>_xlfn.XLOOKUP(O32,#REF!,#REF!)</f>
        <v>#REF!</v>
      </c>
      <c r="W32" s="10" t="e">
        <f>_xlfn.XLOOKUP(R32,#REF!,#REF!)</f>
        <v>#REF!</v>
      </c>
    </row>
    <row r="33" spans="2:23" ht="29" x14ac:dyDescent="0.35">
      <c r="B33" s="3">
        <v>30</v>
      </c>
      <c r="C33" s="3" t="s">
        <v>20</v>
      </c>
      <c r="D33" s="4" t="s">
        <v>103</v>
      </c>
      <c r="E33" s="4" t="s">
        <v>104</v>
      </c>
      <c r="F33" s="5" t="s">
        <v>33</v>
      </c>
      <c r="G33" s="5" t="s">
        <v>105</v>
      </c>
      <c r="H33" s="5" t="s">
        <v>25</v>
      </c>
      <c r="I33" s="5" t="s">
        <v>106</v>
      </c>
      <c r="J33" s="5"/>
      <c r="K33" s="6"/>
      <c r="L33" s="3"/>
      <c r="M33" s="3" t="s">
        <v>30</v>
      </c>
      <c r="N33" s="3"/>
      <c r="O33" s="7">
        <v>45313</v>
      </c>
      <c r="P33" s="7"/>
      <c r="Q33" s="7"/>
      <c r="R33" s="8">
        <v>45309</v>
      </c>
      <c r="S33" s="9" t="str" cm="1">
        <f t="array" aca="1" ref="S33" ca="1">IF(O33="","Sem prazo",(_xlfn.IFS((AND(R33="",O33&lt;=$M$1)),"Atrasada",AND(OR(R33="",R33&gt;=$M$1),O33&gt;$M$1),"Em andamento",R33="Cancelada","Cancelada",(OR(R33&lt;&gt;"",R33&lt;&gt;"Cancelada")),"Concluída")))</f>
        <v>Concluída</v>
      </c>
      <c r="T33" s="11"/>
      <c r="U33" s="10"/>
      <c r="V33" s="10" t="e">
        <f>_xlfn.XLOOKUP(O33,#REF!,#REF!)</f>
        <v>#REF!</v>
      </c>
      <c r="W33" s="10" t="e">
        <f>_xlfn.XLOOKUP(R33,#REF!,#REF!)</f>
        <v>#REF!</v>
      </c>
    </row>
    <row r="34" spans="2:23" ht="29" x14ac:dyDescent="0.35">
      <c r="B34" s="3">
        <v>31</v>
      </c>
      <c r="C34" s="3" t="s">
        <v>20</v>
      </c>
      <c r="D34" s="4" t="s">
        <v>90</v>
      </c>
      <c r="E34" s="4" t="s">
        <v>91</v>
      </c>
      <c r="F34" s="5" t="s">
        <v>33</v>
      </c>
      <c r="G34" s="5" t="s">
        <v>105</v>
      </c>
      <c r="H34" s="5" t="s">
        <v>25</v>
      </c>
      <c r="I34" s="5" t="s">
        <v>106</v>
      </c>
      <c r="J34" s="5"/>
      <c r="K34" s="6"/>
      <c r="L34" s="3"/>
      <c r="M34" s="3" t="s">
        <v>30</v>
      </c>
      <c r="N34" s="3"/>
      <c r="O34" s="7">
        <v>45313</v>
      </c>
      <c r="P34" s="7"/>
      <c r="Q34" s="7"/>
      <c r="R34" s="8">
        <v>45309</v>
      </c>
      <c r="S34" s="9" t="str" cm="1">
        <f t="array" aca="1" ref="S34" ca="1">IF(O34="","Sem prazo",(_xlfn.IFS((AND(R34="",O34&lt;=$M$1)),"Atrasada",AND(OR(R34="",R34&gt;=$M$1),O34&gt;$M$1),"Em andamento",R34="Cancelada","Cancelada",(OR(R34&lt;&gt;"",R34&lt;&gt;"Cancelada")),"Concluída")))</f>
        <v>Concluída</v>
      </c>
      <c r="T34" s="11"/>
      <c r="U34" s="22"/>
      <c r="V34" s="10" t="e">
        <f>_xlfn.XLOOKUP(O34,#REF!,#REF!)</f>
        <v>#REF!</v>
      </c>
      <c r="W34" s="10" t="e">
        <f>_xlfn.XLOOKUP(R34,#REF!,#REF!)</f>
        <v>#REF!</v>
      </c>
    </row>
    <row r="35" spans="2:23" ht="29" x14ac:dyDescent="0.35">
      <c r="B35" s="3">
        <v>32</v>
      </c>
      <c r="C35" s="3" t="s">
        <v>20</v>
      </c>
      <c r="D35" s="4" t="s">
        <v>107</v>
      </c>
      <c r="E35" s="4" t="s">
        <v>108</v>
      </c>
      <c r="F35" s="5" t="s">
        <v>33</v>
      </c>
      <c r="G35" s="5" t="s">
        <v>109</v>
      </c>
      <c r="H35" s="5" t="s">
        <v>110</v>
      </c>
      <c r="I35" s="5" t="s">
        <v>26</v>
      </c>
      <c r="J35" s="5"/>
      <c r="K35" s="6"/>
      <c r="L35" s="3"/>
      <c r="M35" s="3" t="s">
        <v>27</v>
      </c>
      <c r="N35" s="3"/>
      <c r="O35" s="7">
        <v>45300</v>
      </c>
      <c r="P35" s="7"/>
      <c r="Q35" s="7"/>
      <c r="R35" s="7">
        <v>45301</v>
      </c>
      <c r="S35" s="9" t="str" cm="1">
        <f t="array" aca="1" ref="S35" ca="1">IF(O35="","Sem prazo",(_xlfn.IFS((AND(R35="",O35&lt;=$M$1)),"Atrasada",AND(OR(R35="",R35&gt;=$M$1),O35&gt;$M$1),"Em andamento",R35="Cancelada","Cancelada",(OR(R35&lt;&gt;"",R35&lt;&gt;"Cancelada")),"Concluída")))</f>
        <v>Concluída</v>
      </c>
      <c r="T35" s="11"/>
      <c r="U35" s="10"/>
      <c r="V35" s="10" t="e">
        <f>_xlfn.XLOOKUP(O35,#REF!,#REF!)</f>
        <v>#REF!</v>
      </c>
      <c r="W35" s="10" t="e">
        <f>_xlfn.XLOOKUP(R35,#REF!,#REF!)</f>
        <v>#REF!</v>
      </c>
    </row>
    <row r="36" spans="2:23" ht="29" x14ac:dyDescent="0.35">
      <c r="B36" s="3">
        <v>33</v>
      </c>
      <c r="C36" s="3" t="s">
        <v>20</v>
      </c>
      <c r="D36" s="4" t="s">
        <v>33</v>
      </c>
      <c r="E36" s="4" t="s">
        <v>100</v>
      </c>
      <c r="F36" s="5" t="s">
        <v>111</v>
      </c>
      <c r="G36" s="5" t="s">
        <v>112</v>
      </c>
      <c r="H36" s="5" t="s">
        <v>45</v>
      </c>
      <c r="I36" s="5" t="s">
        <v>113</v>
      </c>
      <c r="J36" s="5"/>
      <c r="K36" s="6"/>
      <c r="L36" s="3"/>
      <c r="M36" s="3" t="s">
        <v>97</v>
      </c>
      <c r="N36" s="3"/>
      <c r="O36" s="7">
        <v>45310</v>
      </c>
      <c r="P36" s="7"/>
      <c r="Q36" s="7"/>
      <c r="R36" s="8">
        <v>45307</v>
      </c>
      <c r="S36" s="9" t="str" cm="1">
        <f t="array" aca="1" ref="S36" ca="1">IF(O36="","Sem prazo",(_xlfn.IFS((AND(R36="",O36&lt;=$M$1)),"Atrasada",AND(OR(R36="",R36&gt;=$M$1),O36&gt;$M$1),"Em andamento",R36="Cancelada","Cancelada",(OR(R36&lt;&gt;"",R36&lt;&gt;"Cancelada")),"Concluída")))</f>
        <v>Concluída</v>
      </c>
      <c r="T36" s="11"/>
      <c r="U36" s="10"/>
      <c r="V36" s="10" t="e">
        <f>_xlfn.XLOOKUP(O36,#REF!,#REF!)</f>
        <v>#REF!</v>
      </c>
      <c r="W36" s="10" t="e">
        <f>_xlfn.XLOOKUP(R36,#REF!,#REF!)</f>
        <v>#REF!</v>
      </c>
    </row>
    <row r="37" spans="2:23" ht="29" x14ac:dyDescent="0.35">
      <c r="B37" s="3">
        <v>34</v>
      </c>
      <c r="C37" s="3" t="s">
        <v>20</v>
      </c>
      <c r="D37" s="4" t="s">
        <v>114</v>
      </c>
      <c r="E37" s="4" t="s">
        <v>100</v>
      </c>
      <c r="F37" s="5" t="s">
        <v>115</v>
      </c>
      <c r="G37" s="5" t="s">
        <v>116</v>
      </c>
      <c r="H37" s="5" t="s">
        <v>45</v>
      </c>
      <c r="I37" s="5" t="s">
        <v>117</v>
      </c>
      <c r="J37" s="5"/>
      <c r="K37" s="6"/>
      <c r="L37" s="3"/>
      <c r="M37" s="3" t="s">
        <v>30</v>
      </c>
      <c r="N37" s="3"/>
      <c r="O37" s="7">
        <v>45311</v>
      </c>
      <c r="P37" s="7"/>
      <c r="Q37" s="7"/>
      <c r="R37" s="8">
        <v>45308</v>
      </c>
      <c r="S37" s="9" t="str" cm="1">
        <f t="array" aca="1" ref="S37" ca="1">IF(O37="","Sem prazo",(_xlfn.IFS((AND(R37="",O37&lt;=$M$1)),"Atrasada",AND(OR(R37="",R37&gt;=$M$1),O37&gt;$M$1),"Em andamento",R37="Cancelada","Cancelada",(OR(R37&lt;&gt;"",R37&lt;&gt;"Cancelada")),"Concluída")))</f>
        <v>Concluída</v>
      </c>
      <c r="T37" s="11"/>
      <c r="U37" s="10"/>
      <c r="V37" s="10" t="e">
        <f>_xlfn.XLOOKUP(O37,#REF!,#REF!)</f>
        <v>#REF!</v>
      </c>
      <c r="W37" s="10" t="e">
        <f>_xlfn.XLOOKUP(R37,#REF!,#REF!)</f>
        <v>#REF!</v>
      </c>
    </row>
    <row r="38" spans="2:23" ht="29" x14ac:dyDescent="0.35">
      <c r="B38" s="3">
        <v>35</v>
      </c>
      <c r="C38" s="3" t="s">
        <v>20</v>
      </c>
      <c r="D38" s="4" t="s">
        <v>33</v>
      </c>
      <c r="E38" s="4" t="s">
        <v>33</v>
      </c>
      <c r="F38" s="5" t="s">
        <v>33</v>
      </c>
      <c r="G38" s="5" t="s">
        <v>118</v>
      </c>
      <c r="H38" s="5" t="s">
        <v>45</v>
      </c>
      <c r="I38" s="5" t="s">
        <v>119</v>
      </c>
      <c r="J38" s="5"/>
      <c r="K38" s="6"/>
      <c r="L38" s="3"/>
      <c r="M38" s="3" t="s">
        <v>27</v>
      </c>
      <c r="N38" s="3"/>
      <c r="O38" s="7">
        <v>45308</v>
      </c>
      <c r="P38" s="7"/>
      <c r="Q38" s="7"/>
      <c r="R38" s="7">
        <v>45308</v>
      </c>
      <c r="S38" s="9" t="str" cm="1">
        <f t="array" aca="1" ref="S38" ca="1">IF(O38="","Sem prazo",(_xlfn.IFS((AND(R38="",O38&lt;=$M$1)),"Atrasada",AND(OR(R38="",R38&gt;=$M$1),O38&gt;$M$1),"Em andamento",R38="Cancelada","Cancelada",(OR(R38&lt;&gt;"",R38&lt;&gt;"Cancelada")),"Concluída")))</f>
        <v>Concluída</v>
      </c>
      <c r="T38" s="11"/>
      <c r="U38" s="22"/>
      <c r="V38" s="10" t="e">
        <f>_xlfn.XLOOKUP(O38,#REF!,#REF!)</f>
        <v>#REF!</v>
      </c>
      <c r="W38" s="10" t="e">
        <f>_xlfn.XLOOKUP(R38,#REF!,#REF!)</f>
        <v>#REF!</v>
      </c>
    </row>
    <row r="39" spans="2:23" ht="29" x14ac:dyDescent="0.35">
      <c r="B39" s="3">
        <v>36</v>
      </c>
      <c r="C39" s="3" t="s">
        <v>20</v>
      </c>
      <c r="D39" s="4" t="s">
        <v>120</v>
      </c>
      <c r="E39" s="4" t="s">
        <v>121</v>
      </c>
      <c r="F39" s="5" t="s">
        <v>122</v>
      </c>
      <c r="G39" s="5" t="s">
        <v>123</v>
      </c>
      <c r="H39" s="5" t="s">
        <v>45</v>
      </c>
      <c r="I39" s="5" t="s">
        <v>124</v>
      </c>
      <c r="J39" s="5"/>
      <c r="K39" s="6"/>
      <c r="L39" s="3"/>
      <c r="M39" s="3" t="s">
        <v>30</v>
      </c>
      <c r="N39" s="7">
        <v>45308</v>
      </c>
      <c r="O39" s="7">
        <v>45311</v>
      </c>
      <c r="P39" s="7"/>
      <c r="Q39" s="7"/>
      <c r="R39" s="7">
        <v>45308</v>
      </c>
      <c r="S39" s="9" t="str" cm="1">
        <f t="array" aca="1" ref="S39" ca="1">IF(O39="","Sem prazo",(_xlfn.IFS((AND(R39="",O39&lt;=$M$1)),"Atrasada",AND(OR(R39="",R39&gt;=$M$1),O39&gt;$M$1),"Em andamento",R39="Cancelada","Cancelada",(OR(R39&lt;&gt;"",R39&lt;&gt;"Cancelada")),"Concluída")))</f>
        <v>Concluída</v>
      </c>
      <c r="T39" s="11"/>
      <c r="U39" s="22"/>
      <c r="V39" s="10" t="e">
        <f>_xlfn.XLOOKUP(O39,#REF!,#REF!)</f>
        <v>#REF!</v>
      </c>
      <c r="W39" s="10" t="e">
        <f>_xlfn.XLOOKUP(R39,#REF!,#REF!)</f>
        <v>#REF!</v>
      </c>
    </row>
    <row r="40" spans="2:23" ht="29" x14ac:dyDescent="0.35">
      <c r="B40" s="3">
        <v>37</v>
      </c>
      <c r="C40" s="3" t="s">
        <v>20</v>
      </c>
      <c r="D40" s="4" t="s">
        <v>120</v>
      </c>
      <c r="E40" s="4" t="s">
        <v>121</v>
      </c>
      <c r="F40" s="5" t="s">
        <v>122</v>
      </c>
      <c r="G40" s="5" t="s">
        <v>123</v>
      </c>
      <c r="H40" s="5" t="s">
        <v>45</v>
      </c>
      <c r="I40" s="5" t="s">
        <v>125</v>
      </c>
      <c r="J40" s="5"/>
      <c r="K40" s="6"/>
      <c r="L40" s="3"/>
      <c r="M40" s="3" t="s">
        <v>126</v>
      </c>
      <c r="N40" s="7">
        <v>45308</v>
      </c>
      <c r="O40" s="7">
        <v>45308</v>
      </c>
      <c r="P40" s="7"/>
      <c r="Q40" s="7"/>
      <c r="R40" s="7">
        <v>45308</v>
      </c>
      <c r="S40" s="9" t="str" cm="1">
        <f t="array" aca="1" ref="S40" ca="1">IF(O40="","Sem prazo",(_xlfn.IFS((AND(R40="",O40&lt;=$M$1)),"Atrasada",AND(OR(R40="",R40&gt;=$M$1),O40&gt;$M$1),"Em andamento",R40="Cancelada","Cancelada",(OR(R40&lt;&gt;"",R40&lt;&gt;"Cancelada")),"Concluída")))</f>
        <v>Concluída</v>
      </c>
      <c r="T40" s="11"/>
      <c r="U40" s="10"/>
      <c r="V40" s="10" t="e">
        <f>_xlfn.XLOOKUP(O40,#REF!,#REF!)</f>
        <v>#REF!</v>
      </c>
      <c r="W40" s="10" t="e">
        <f>_xlfn.XLOOKUP(R40,#REF!,#REF!)</f>
        <v>#REF!</v>
      </c>
    </row>
    <row r="41" spans="2:23" ht="29" x14ac:dyDescent="0.35">
      <c r="B41" s="3">
        <v>38</v>
      </c>
      <c r="C41" s="3" t="s">
        <v>20</v>
      </c>
      <c r="D41" s="4" t="s">
        <v>120</v>
      </c>
      <c r="E41" s="4" t="s">
        <v>121</v>
      </c>
      <c r="F41" s="5" t="s">
        <v>122</v>
      </c>
      <c r="G41" s="5" t="s">
        <v>123</v>
      </c>
      <c r="H41" s="5" t="s">
        <v>45</v>
      </c>
      <c r="I41" s="5" t="s">
        <v>127</v>
      </c>
      <c r="J41" s="5"/>
      <c r="K41" s="6"/>
      <c r="L41" s="3"/>
      <c r="M41" s="3" t="s">
        <v>126</v>
      </c>
      <c r="N41" s="7">
        <v>45308</v>
      </c>
      <c r="O41" s="7">
        <v>45316</v>
      </c>
      <c r="P41" s="7"/>
      <c r="Q41" s="7"/>
      <c r="R41" s="7">
        <v>45316</v>
      </c>
      <c r="S41" s="9" t="str" cm="1">
        <f t="array" aca="1" ref="S41" ca="1">IF(O41="","Sem prazo",(_xlfn.IFS((AND(R41="",O41&lt;=$M$1)),"Atrasada",AND(OR(R41="",R41&gt;=$M$1),O41&gt;$M$1),"Em andamento",R41="Cancelada","Cancelada",(OR(R41&lt;&gt;"",R41&lt;&gt;"Cancelada")),"Concluída")))</f>
        <v>Concluída</v>
      </c>
      <c r="T41" s="20"/>
      <c r="U41" s="22" t="s">
        <v>128</v>
      </c>
      <c r="V41" s="10" t="e">
        <f>_xlfn.XLOOKUP(O41,#REF!,#REF!)</f>
        <v>#REF!</v>
      </c>
      <c r="W41" s="10" t="e">
        <f>_xlfn.XLOOKUP(R41,#REF!,#REF!)</f>
        <v>#REF!</v>
      </c>
    </row>
    <row r="42" spans="2:23" ht="29" x14ac:dyDescent="0.35">
      <c r="B42" s="3">
        <v>39</v>
      </c>
      <c r="C42" s="3" t="s">
        <v>20</v>
      </c>
      <c r="D42" s="4" t="s">
        <v>120</v>
      </c>
      <c r="E42" s="4" t="s">
        <v>121</v>
      </c>
      <c r="F42" s="5" t="s">
        <v>122</v>
      </c>
      <c r="G42" s="5" t="s">
        <v>123</v>
      </c>
      <c r="H42" s="5" t="s">
        <v>45</v>
      </c>
      <c r="I42" s="5" t="s">
        <v>129</v>
      </c>
      <c r="J42" s="5"/>
      <c r="K42" s="6"/>
      <c r="L42" s="3"/>
      <c r="M42" s="3" t="s">
        <v>126</v>
      </c>
      <c r="N42" s="7">
        <v>45308</v>
      </c>
      <c r="O42" s="7">
        <v>45443</v>
      </c>
      <c r="P42" s="7"/>
      <c r="Q42" s="7"/>
      <c r="R42" s="7">
        <v>45406</v>
      </c>
      <c r="S42" s="9" t="str" cm="1">
        <f t="array" aca="1" ref="S42" ca="1">IF(O42="","Sem prazo",(_xlfn.IFS((AND(R42="",O42&lt;=$M$1)),"Atrasada",AND(OR(R42="",R42&gt;=$M$1),O42&gt;$M$1),"Em andamento",R42="Cancelada","Cancelada",(OR(R42&lt;&gt;"",R42&lt;&gt;"Cancelada")),"Concluída")))</f>
        <v>Concluída</v>
      </c>
      <c r="T42" s="20"/>
      <c r="U42" s="22"/>
      <c r="V42" s="10" t="e">
        <f>_xlfn.XLOOKUP(O42,#REF!,#REF!)</f>
        <v>#REF!</v>
      </c>
      <c r="W42" s="10"/>
    </row>
    <row r="43" spans="2:23" ht="29" x14ac:dyDescent="0.35">
      <c r="B43" s="3">
        <v>40</v>
      </c>
      <c r="C43" s="3" t="s">
        <v>20</v>
      </c>
      <c r="D43" s="4" t="s">
        <v>120</v>
      </c>
      <c r="E43" s="4" t="s">
        <v>121</v>
      </c>
      <c r="F43" s="5" t="s">
        <v>122</v>
      </c>
      <c r="G43" s="5" t="s">
        <v>123</v>
      </c>
      <c r="H43" s="5" t="s">
        <v>45</v>
      </c>
      <c r="I43" s="5" t="s">
        <v>130</v>
      </c>
      <c r="J43" s="5"/>
      <c r="K43" s="6"/>
      <c r="L43" s="3"/>
      <c r="M43" s="3" t="s">
        <v>126</v>
      </c>
      <c r="N43" s="7">
        <v>45308</v>
      </c>
      <c r="O43" s="7">
        <v>45443</v>
      </c>
      <c r="P43" s="7"/>
      <c r="Q43" s="7"/>
      <c r="R43" s="8">
        <v>45406</v>
      </c>
      <c r="S43" s="9" t="str" cm="1">
        <f t="array" aca="1" ref="S43" ca="1">IF(O43="","Sem prazo",(_xlfn.IFS((AND(R43="",O43&lt;=$M$1)),"Atrasada",AND(OR(R43="",R43&gt;=$M$1),O43&gt;$M$1),"Em andamento",R43="Cancelada","Cancelada",(OR(R43&lt;&gt;"",R43&lt;&gt;"Cancelada")),"Concluída")))</f>
        <v>Concluída</v>
      </c>
      <c r="T43" s="11"/>
      <c r="U43" s="13"/>
      <c r="V43" s="10" t="e">
        <f>_xlfn.XLOOKUP(O43,#REF!,#REF!)</f>
        <v>#REF!</v>
      </c>
      <c r="W43" s="10"/>
    </row>
    <row r="44" spans="2:23" ht="29" x14ac:dyDescent="0.35">
      <c r="B44" s="3">
        <v>41</v>
      </c>
      <c r="C44" s="3" t="s">
        <v>20</v>
      </c>
      <c r="D44" s="4" t="s">
        <v>120</v>
      </c>
      <c r="E44" s="4" t="s">
        <v>121</v>
      </c>
      <c r="F44" s="5" t="s">
        <v>122</v>
      </c>
      <c r="G44" s="5" t="s">
        <v>123</v>
      </c>
      <c r="H44" s="5" t="s">
        <v>45</v>
      </c>
      <c r="I44" s="5" t="s">
        <v>131</v>
      </c>
      <c r="J44" s="5"/>
      <c r="K44" s="6"/>
      <c r="L44" s="3"/>
      <c r="M44" s="3" t="s">
        <v>30</v>
      </c>
      <c r="N44" s="7">
        <v>45308</v>
      </c>
      <c r="O44" s="7">
        <v>45443</v>
      </c>
      <c r="P44" s="7"/>
      <c r="Q44" s="7"/>
      <c r="R44" s="7">
        <v>45441</v>
      </c>
      <c r="S44" s="9" t="str" cm="1">
        <f t="array" aca="1" ref="S44" ca="1">IF(O44="","Sem prazo",(_xlfn.IFS((AND(R44="",O44&lt;=$M$1)),"Atrasada",AND(OR(R44="",R44&gt;=$M$1),O44&gt;$M$1),"Em andamento",R44="Cancelada","Cancelada",(OR(R44&lt;&gt;"",R44&lt;&gt;"Cancelada")),"Concluída")))</f>
        <v>Concluída</v>
      </c>
      <c r="T44" s="20"/>
      <c r="U44" s="13"/>
      <c r="V44" s="10" t="e">
        <f>_xlfn.XLOOKUP(O44,#REF!,#REF!)</f>
        <v>#REF!</v>
      </c>
      <c r="W44" s="10"/>
    </row>
    <row r="45" spans="2:23" ht="29" x14ac:dyDescent="0.35">
      <c r="B45" s="3">
        <v>42</v>
      </c>
      <c r="C45" s="3" t="s">
        <v>20</v>
      </c>
      <c r="D45" s="4" t="s">
        <v>33</v>
      </c>
      <c r="E45" s="4" t="s">
        <v>100</v>
      </c>
      <c r="F45" s="5" t="s">
        <v>111</v>
      </c>
      <c r="G45" s="5" t="s">
        <v>112</v>
      </c>
      <c r="H45" s="5" t="s">
        <v>45</v>
      </c>
      <c r="I45" s="5" t="s">
        <v>132</v>
      </c>
      <c r="J45" s="5"/>
      <c r="K45" s="6"/>
      <c r="L45" s="3"/>
      <c r="M45" s="3" t="s">
        <v>133</v>
      </c>
      <c r="N45" s="7">
        <v>45309</v>
      </c>
      <c r="O45" s="7">
        <v>45313</v>
      </c>
      <c r="P45" s="7">
        <v>45315</v>
      </c>
      <c r="Q45" s="7"/>
      <c r="R45" s="7">
        <v>45315</v>
      </c>
      <c r="S45" s="30" t="str" cm="1">
        <f t="array" aca="1" ref="S45" ca="1">IF(O45="","Sem prazo",(_xlfn.IFS((AND(R45="",O45&lt;=$M$1)),"Atrasada",AND(OR(R45="",R45&gt;=$M$1),O45&gt;$M$1),"Em andamento",R45="Cancelada","Cancelada",(OR(R45&lt;&gt;"",R45&lt;&gt;"Cancelada")),"Concluída")))</f>
        <v>Concluída</v>
      </c>
      <c r="T45" s="11"/>
      <c r="U45" s="13"/>
      <c r="V45" s="10" t="e">
        <f>_xlfn.XLOOKUP(O45,#REF!,#REF!)</f>
        <v>#REF!</v>
      </c>
      <c r="W45" s="10" t="e">
        <f>_xlfn.XLOOKUP(R45,#REF!,#REF!)</f>
        <v>#REF!</v>
      </c>
    </row>
    <row r="46" spans="2:23" ht="29" x14ac:dyDescent="0.35">
      <c r="B46" s="3">
        <v>43</v>
      </c>
      <c r="C46" s="3" t="s">
        <v>20</v>
      </c>
      <c r="D46" s="4" t="s">
        <v>134</v>
      </c>
      <c r="E46" s="4" t="s">
        <v>121</v>
      </c>
      <c r="F46" s="5" t="s">
        <v>33</v>
      </c>
      <c r="G46" s="5" t="s">
        <v>135</v>
      </c>
      <c r="H46" s="5" t="s">
        <v>45</v>
      </c>
      <c r="I46" s="5" t="s">
        <v>136</v>
      </c>
      <c r="J46" s="5"/>
      <c r="K46" s="6"/>
      <c r="L46" s="3"/>
      <c r="M46" s="3" t="s">
        <v>52</v>
      </c>
      <c r="N46" s="7">
        <v>45305</v>
      </c>
      <c r="O46" s="7">
        <v>45313</v>
      </c>
      <c r="P46" s="7">
        <v>45317</v>
      </c>
      <c r="Q46" s="7"/>
      <c r="R46" s="7">
        <v>45315</v>
      </c>
      <c r="S46" s="9" t="str" cm="1">
        <f t="array" aca="1" ref="S46" ca="1">IF(O46="","Sem prazo",(_xlfn.IFS((AND(R46="",O46&lt;=$M$1)),"Atrasada",AND(OR(R46="",R46&gt;=$M$1),O46&gt;$M$1),"Em andamento",R46="Cancelada","Cancelada",(OR(R46&lt;&gt;"",R46&lt;&gt;"Cancelada")),"Concluída")))</f>
        <v>Concluída</v>
      </c>
      <c r="T46" s="20"/>
      <c r="U46" s="13"/>
      <c r="V46" s="10" t="e">
        <f>_xlfn.XLOOKUP(O46,#REF!,#REF!)</f>
        <v>#REF!</v>
      </c>
      <c r="W46" s="10" t="e">
        <f>_xlfn.XLOOKUP(R46,#REF!,#REF!)</f>
        <v>#REF!</v>
      </c>
    </row>
    <row r="47" spans="2:23" ht="29" x14ac:dyDescent="0.35">
      <c r="B47" s="3">
        <v>44</v>
      </c>
      <c r="C47" s="3" t="s">
        <v>20</v>
      </c>
      <c r="D47" s="12" t="s">
        <v>137</v>
      </c>
      <c r="E47" s="12" t="s">
        <v>138</v>
      </c>
      <c r="F47" s="5" t="s">
        <v>33</v>
      </c>
      <c r="G47" s="5" t="s">
        <v>139</v>
      </c>
      <c r="H47" s="5" t="s">
        <v>45</v>
      </c>
      <c r="I47" s="5" t="s">
        <v>140</v>
      </c>
      <c r="J47" s="5"/>
      <c r="K47" s="6"/>
      <c r="L47" s="3"/>
      <c r="M47" s="3" t="s">
        <v>52</v>
      </c>
      <c r="N47" s="7">
        <v>45305</v>
      </c>
      <c r="O47" s="7">
        <v>45313</v>
      </c>
      <c r="P47" s="7">
        <v>45317</v>
      </c>
      <c r="Q47" s="7"/>
      <c r="R47" s="7">
        <v>45315</v>
      </c>
      <c r="S47" s="9" t="str" cm="1">
        <f t="array" aca="1" ref="S47" ca="1">IF(O47="","Sem prazo",(_xlfn.IFS((AND(R47="",O47&lt;=$M$1)),"Atrasada",AND(OR(R47="",R47&gt;=$M$1),O47&gt;$M$1),"Em andamento",R47="Cancelada","Cancelada",(OR(R47&lt;&gt;"",R47&lt;&gt;"Cancelada")),"Concluída")))</f>
        <v>Concluída</v>
      </c>
      <c r="T47" s="20"/>
      <c r="U47" s="13"/>
      <c r="V47" s="10" t="e">
        <f>_xlfn.XLOOKUP(O47,#REF!,#REF!)</f>
        <v>#REF!</v>
      </c>
      <c r="W47" s="10" t="e">
        <f>_xlfn.XLOOKUP(R47,#REF!,#REF!)</f>
        <v>#REF!</v>
      </c>
    </row>
    <row r="48" spans="2:23" ht="29" x14ac:dyDescent="0.35">
      <c r="B48" s="3">
        <v>45</v>
      </c>
      <c r="C48" s="3" t="s">
        <v>20</v>
      </c>
      <c r="D48" s="12"/>
      <c r="E48" s="12"/>
      <c r="F48" s="5"/>
      <c r="G48" s="5" t="s">
        <v>141</v>
      </c>
      <c r="H48" s="5" t="s">
        <v>45</v>
      </c>
      <c r="I48" s="5" t="s">
        <v>142</v>
      </c>
      <c r="J48" s="5"/>
      <c r="K48" s="6"/>
      <c r="L48" s="3"/>
      <c r="M48" s="3" t="s">
        <v>57</v>
      </c>
      <c r="N48" s="7">
        <v>45302</v>
      </c>
      <c r="O48" s="7">
        <v>45302</v>
      </c>
      <c r="P48" s="7"/>
      <c r="Q48" s="7"/>
      <c r="R48" s="7">
        <v>45302</v>
      </c>
      <c r="S48" s="9" t="str" cm="1">
        <f t="array" aca="1" ref="S48" ca="1">IF(O48="","Sem prazo",(_xlfn.IFS((AND(R48="",O48&lt;=$M$1)),"Atrasada",AND(OR(R48="",R48&gt;=$M$1),O48&gt;$M$1),"Em andamento",R48="Cancelada","Cancelada",(OR(R48&lt;&gt;"",R48&lt;&gt;"Cancelada")),"Concluída")))</f>
        <v>Concluída</v>
      </c>
      <c r="T48" s="20"/>
      <c r="U48" s="13"/>
      <c r="V48" s="10" t="e">
        <f>_xlfn.XLOOKUP(O48,#REF!,#REF!)</f>
        <v>#REF!</v>
      </c>
      <c r="W48" s="10" t="e">
        <f>_xlfn.XLOOKUP(R48,#REF!,#REF!)</f>
        <v>#REF!</v>
      </c>
    </row>
    <row r="49" spans="2:29" ht="29" x14ac:dyDescent="0.35">
      <c r="B49" s="3">
        <v>46</v>
      </c>
      <c r="C49" s="3" t="s">
        <v>20</v>
      </c>
      <c r="D49" s="12"/>
      <c r="E49" s="12"/>
      <c r="F49" s="5"/>
      <c r="G49" s="5" t="s">
        <v>141</v>
      </c>
      <c r="H49" s="5" t="s">
        <v>45</v>
      </c>
      <c r="I49" s="5" t="s">
        <v>143</v>
      </c>
      <c r="J49" s="5"/>
      <c r="K49" s="6"/>
      <c r="L49" s="3"/>
      <c r="M49" s="3" t="s">
        <v>144</v>
      </c>
      <c r="N49" s="7">
        <v>45302</v>
      </c>
      <c r="O49" s="7">
        <v>45306</v>
      </c>
      <c r="P49" s="7"/>
      <c r="Q49" s="7"/>
      <c r="R49" s="7">
        <v>45307</v>
      </c>
      <c r="S49" s="9" t="str" cm="1">
        <f t="array" aca="1" ref="S49" ca="1">IF(O49="","Sem prazo",(_xlfn.IFS((AND(R49="",O49&lt;=$M$1)),"Atrasada",AND(OR(R49="",R49&gt;=$M$1),O49&gt;$M$1),"Em andamento",R49="Cancelada","Cancelada",(OR(R49&lt;&gt;"",R49&lt;&gt;"Cancelada")),"Concluída")))</f>
        <v>Concluída</v>
      </c>
      <c r="T49" s="20"/>
      <c r="U49" s="13"/>
      <c r="V49" s="10" t="e">
        <f>_xlfn.XLOOKUP(O49,#REF!,#REF!)</f>
        <v>#REF!</v>
      </c>
      <c r="W49" s="10" t="e">
        <f>_xlfn.XLOOKUP(R49,#REF!,#REF!)</f>
        <v>#REF!</v>
      </c>
    </row>
    <row r="50" spans="2:29" ht="29" x14ac:dyDescent="0.35">
      <c r="B50" s="3">
        <v>47</v>
      </c>
      <c r="C50" s="3" t="s">
        <v>20</v>
      </c>
      <c r="D50" s="12"/>
      <c r="E50" s="12"/>
      <c r="F50" s="5"/>
      <c r="G50" s="5" t="s">
        <v>141</v>
      </c>
      <c r="H50" s="5" t="s">
        <v>45</v>
      </c>
      <c r="I50" s="5" t="s">
        <v>145</v>
      </c>
      <c r="J50" s="5"/>
      <c r="K50" s="6"/>
      <c r="L50" s="3"/>
      <c r="M50" s="3" t="s">
        <v>144</v>
      </c>
      <c r="N50" s="7">
        <v>45302</v>
      </c>
      <c r="O50" s="7">
        <v>45308</v>
      </c>
      <c r="P50" s="7">
        <v>45314</v>
      </c>
      <c r="Q50" s="7"/>
      <c r="R50" s="7">
        <v>45316</v>
      </c>
      <c r="S50" s="9" t="str" cm="1">
        <f t="array" aca="1" ref="S50" ca="1">IF(O50="","Sem prazo",(_xlfn.IFS((AND(R50="",O50&lt;=$M$1)),"Atrasada",AND(OR(R50="",R50&gt;=$M$1),O50&gt;$M$1),"Em andamento",R50="Cancelada","Cancelada",(OR(R50&lt;&gt;"",R50&lt;&gt;"Cancelada")),"Concluída")))</f>
        <v>Concluída</v>
      </c>
      <c r="T50" s="11"/>
      <c r="U50" s="13"/>
      <c r="V50" s="10" t="e">
        <f>_xlfn.XLOOKUP(O50,#REF!,#REF!)</f>
        <v>#REF!</v>
      </c>
      <c r="W50" s="10" t="e">
        <f>_xlfn.XLOOKUP(R50,#REF!,#REF!)</f>
        <v>#REF!</v>
      </c>
    </row>
    <row r="51" spans="2:29" ht="32.5" customHeight="1" x14ac:dyDescent="0.35">
      <c r="B51" s="3">
        <v>48</v>
      </c>
      <c r="C51" s="3" t="s">
        <v>20</v>
      </c>
      <c r="D51" s="4" t="s">
        <v>146</v>
      </c>
      <c r="E51" s="4" t="s">
        <v>147</v>
      </c>
      <c r="F51" s="5" t="s">
        <v>122</v>
      </c>
      <c r="G51" s="5" t="s">
        <v>123</v>
      </c>
      <c r="H51" s="5" t="s">
        <v>45</v>
      </c>
      <c r="I51" s="5" t="s">
        <v>148</v>
      </c>
      <c r="J51" s="5"/>
      <c r="K51" s="6"/>
      <c r="L51" s="3"/>
      <c r="M51" s="3" t="s">
        <v>149</v>
      </c>
      <c r="N51" s="7">
        <v>45309</v>
      </c>
      <c r="O51" s="7">
        <v>45314</v>
      </c>
      <c r="P51" s="7"/>
      <c r="Q51" s="7"/>
      <c r="R51" s="7">
        <v>45310</v>
      </c>
      <c r="S51" s="9" t="str" cm="1">
        <f t="array" aca="1" ref="S51" ca="1">IF(O51="","Sem prazo",(_xlfn.IFS((AND(R51="",O51&lt;=$M$1)),"Atrasada",AND(OR(R51="",R51&gt;=$M$1),O51&gt;$M$1),"Em andamento",R51="Cancelada","Cancelada",(OR(R51&lt;&gt;"",R51&lt;&gt;"Cancelada")),"Concluída")))</f>
        <v>Concluída</v>
      </c>
      <c r="T51" s="11"/>
      <c r="U51" s="14"/>
      <c r="V51" s="10" t="e">
        <f>_xlfn.XLOOKUP(O51,#REF!,#REF!)</f>
        <v>#REF!</v>
      </c>
      <c r="W51" s="10" t="e">
        <f>_xlfn.XLOOKUP(R51,#REF!,#REF!)</f>
        <v>#REF!</v>
      </c>
    </row>
    <row r="52" spans="2:29" ht="29" x14ac:dyDescent="0.35">
      <c r="B52" s="3">
        <v>49</v>
      </c>
      <c r="C52" s="3" t="s">
        <v>20</v>
      </c>
      <c r="D52" s="4" t="s">
        <v>146</v>
      </c>
      <c r="E52" s="4" t="s">
        <v>147</v>
      </c>
      <c r="F52" s="5" t="s">
        <v>122</v>
      </c>
      <c r="G52" s="5" t="s">
        <v>123</v>
      </c>
      <c r="H52" s="5" t="s">
        <v>45</v>
      </c>
      <c r="I52" s="5" t="s">
        <v>124</v>
      </c>
      <c r="J52" s="5"/>
      <c r="K52" s="6"/>
      <c r="L52" s="3"/>
      <c r="M52" s="3" t="s">
        <v>30</v>
      </c>
      <c r="N52" s="7">
        <v>45309</v>
      </c>
      <c r="O52" s="7">
        <v>45310</v>
      </c>
      <c r="P52" s="7"/>
      <c r="Q52" s="7"/>
      <c r="R52" s="7">
        <v>45310</v>
      </c>
      <c r="S52" s="9" t="str" cm="1">
        <f t="array" aca="1" ref="S52" ca="1">IF(O52="","Sem prazo",(_xlfn.IFS((AND(R52="",O52&lt;=$M$1)),"Atrasada",AND(OR(R52="",R52&gt;=$M$1),O52&gt;$M$1),"Em andamento",R52="Cancelada","Cancelada",(OR(R52&lt;&gt;"",R52&lt;&gt;"Cancelada")),"Concluída")))</f>
        <v>Concluída</v>
      </c>
      <c r="T52" s="11"/>
      <c r="U52" s="13"/>
      <c r="V52" s="10" t="e">
        <f>_xlfn.XLOOKUP(O52,#REF!,#REF!)</f>
        <v>#REF!</v>
      </c>
      <c r="W52" s="10" t="e">
        <f>_xlfn.XLOOKUP(R52,#REF!,#REF!)</f>
        <v>#REF!</v>
      </c>
    </row>
    <row r="53" spans="2:29" ht="29" x14ac:dyDescent="0.35">
      <c r="B53" s="3">
        <v>50</v>
      </c>
      <c r="C53" s="3" t="s">
        <v>20</v>
      </c>
      <c r="D53" s="4" t="s">
        <v>146</v>
      </c>
      <c r="E53" s="4" t="s">
        <v>147</v>
      </c>
      <c r="F53" s="5" t="s">
        <v>122</v>
      </c>
      <c r="G53" s="5" t="s">
        <v>123</v>
      </c>
      <c r="H53" s="5" t="s">
        <v>45</v>
      </c>
      <c r="I53" s="5" t="s">
        <v>125</v>
      </c>
      <c r="J53" s="5"/>
      <c r="K53" s="6"/>
      <c r="L53" s="3"/>
      <c r="M53" s="3" t="s">
        <v>126</v>
      </c>
      <c r="N53" s="7">
        <v>45309</v>
      </c>
      <c r="O53" s="7">
        <v>45309</v>
      </c>
      <c r="P53" s="7"/>
      <c r="Q53" s="7"/>
      <c r="R53" s="7">
        <v>45309</v>
      </c>
      <c r="S53" s="9" t="str" cm="1">
        <f t="array" aca="1" ref="S53" ca="1">IF(O53="","Sem prazo",(_xlfn.IFS((AND(R53="",O53&lt;=$M$1)),"Atrasada",AND(OR(R53="",R53&gt;=$M$1),O53&gt;$M$1),"Em andamento",R53="Cancelada","Cancelada",(OR(R53&lt;&gt;"",R53&lt;&gt;"Cancelada")),"Concluída")))</f>
        <v>Concluída</v>
      </c>
      <c r="T53" s="11"/>
      <c r="U53" s="13"/>
      <c r="V53" s="10" t="e">
        <f>_xlfn.XLOOKUP(O53,#REF!,#REF!)</f>
        <v>#REF!</v>
      </c>
      <c r="W53" s="10" t="e">
        <f>_xlfn.XLOOKUP(R53,#REF!,#REF!)</f>
        <v>#REF!</v>
      </c>
    </row>
    <row r="54" spans="2:29" ht="29" x14ac:dyDescent="0.35">
      <c r="B54" s="3">
        <v>51</v>
      </c>
      <c r="C54" s="3" t="s">
        <v>20</v>
      </c>
      <c r="D54" s="4" t="s">
        <v>146</v>
      </c>
      <c r="E54" s="4" t="s">
        <v>147</v>
      </c>
      <c r="F54" s="5" t="s">
        <v>122</v>
      </c>
      <c r="G54" s="5" t="s">
        <v>123</v>
      </c>
      <c r="H54" s="5" t="s">
        <v>45</v>
      </c>
      <c r="I54" s="5" t="s">
        <v>127</v>
      </c>
      <c r="J54" s="5"/>
      <c r="K54" s="6"/>
      <c r="L54" s="3"/>
      <c r="M54" s="3" t="s">
        <v>126</v>
      </c>
      <c r="N54" s="7">
        <v>45309</v>
      </c>
      <c r="O54" s="7">
        <v>45318</v>
      </c>
      <c r="P54" s="7"/>
      <c r="Q54" s="7"/>
      <c r="R54" s="7">
        <v>45315</v>
      </c>
      <c r="S54" s="9" t="str" cm="1">
        <f t="array" aca="1" ref="S54" ca="1">IF(O54="","Sem prazo",(_xlfn.IFS((AND(R54="",O54&lt;=$M$1)),"Atrasada",AND(OR(R54="",R54&gt;=$M$1),O54&gt;$M$1),"Em andamento",R54="Cancelada","Cancelada",(OR(R54&lt;&gt;"",R54&lt;&gt;"Cancelada")),"Concluída")))</f>
        <v>Concluída</v>
      </c>
      <c r="T54" s="11"/>
      <c r="U54" s="13" t="s">
        <v>150</v>
      </c>
      <c r="V54" s="10" t="e">
        <f>_xlfn.XLOOKUP(O54,#REF!,#REF!)</f>
        <v>#REF!</v>
      </c>
      <c r="W54" s="10" t="e">
        <f>_xlfn.XLOOKUP(R54,#REF!,#REF!)</f>
        <v>#REF!</v>
      </c>
    </row>
    <row r="55" spans="2:29" ht="29" x14ac:dyDescent="0.35">
      <c r="B55" s="3">
        <v>52</v>
      </c>
      <c r="C55" s="3" t="s">
        <v>20</v>
      </c>
      <c r="D55" s="4" t="s">
        <v>146</v>
      </c>
      <c r="E55" s="4" t="s">
        <v>147</v>
      </c>
      <c r="F55" s="5" t="s">
        <v>122</v>
      </c>
      <c r="G55" s="5" t="s">
        <v>123</v>
      </c>
      <c r="H55" s="5" t="s">
        <v>45</v>
      </c>
      <c r="I55" s="5" t="s">
        <v>129</v>
      </c>
      <c r="J55" s="5"/>
      <c r="K55" s="6"/>
      <c r="L55" s="3"/>
      <c r="M55" s="3" t="s">
        <v>126</v>
      </c>
      <c r="N55" s="7">
        <v>45309</v>
      </c>
      <c r="O55" s="7">
        <v>45443</v>
      </c>
      <c r="P55" s="7"/>
      <c r="Q55" s="7"/>
      <c r="R55" s="8">
        <v>45406</v>
      </c>
      <c r="S55" s="9" t="str" cm="1">
        <f t="array" aca="1" ref="S55" ca="1">IF(O55="","Sem prazo",(_xlfn.IFS((AND(R55="",O55&lt;=$M$1)),"Atrasada",AND(OR(R55="",R55&gt;=$M$1),O55&gt;$M$1),"Em andamento",R55="Cancelada","Cancelada",(OR(R55&lt;&gt;"",R55&lt;&gt;"Cancelada")),"Concluída")))</f>
        <v>Concluída</v>
      </c>
      <c r="T55" s="11"/>
      <c r="U55" s="13"/>
      <c r="V55" s="10" t="e">
        <f>_xlfn.XLOOKUP(O55,#REF!,#REF!)</f>
        <v>#REF!</v>
      </c>
      <c r="W55" s="10"/>
    </row>
    <row r="56" spans="2:29" ht="29" x14ac:dyDescent="0.35">
      <c r="B56" s="3">
        <v>53</v>
      </c>
      <c r="C56" s="3" t="s">
        <v>20</v>
      </c>
      <c r="D56" s="4" t="s">
        <v>146</v>
      </c>
      <c r="E56" s="4" t="s">
        <v>147</v>
      </c>
      <c r="F56" s="5" t="s">
        <v>122</v>
      </c>
      <c r="G56" s="5" t="s">
        <v>123</v>
      </c>
      <c r="H56" s="5" t="s">
        <v>45</v>
      </c>
      <c r="I56" s="5" t="s">
        <v>130</v>
      </c>
      <c r="J56" s="5"/>
      <c r="K56" s="6"/>
      <c r="L56" s="3"/>
      <c r="M56" s="3" t="s">
        <v>126</v>
      </c>
      <c r="N56" s="7">
        <v>45309</v>
      </c>
      <c r="O56" s="7">
        <v>45443</v>
      </c>
      <c r="P56" s="7"/>
      <c r="Q56" s="7"/>
      <c r="R56" s="7">
        <v>45406</v>
      </c>
      <c r="S56" s="9" t="str" cm="1">
        <f t="array" aca="1" ref="S56" ca="1">IF(O56="","Sem prazo",(_xlfn.IFS((AND(R56="",O56&lt;=$M$1)),"Atrasada",AND(OR(R56="",R56&gt;=$M$1),O56&gt;$M$1),"Em andamento",R56="Cancelada","Cancelada",(OR(R56&lt;&gt;"",R56&lt;&gt;"Cancelada")),"Concluída")))</f>
        <v>Concluída</v>
      </c>
      <c r="T56" s="11"/>
      <c r="U56" s="13"/>
      <c r="V56" s="10" t="e">
        <f>_xlfn.XLOOKUP(O56,#REF!,#REF!)</f>
        <v>#REF!</v>
      </c>
      <c r="W56" s="10"/>
    </row>
    <row r="57" spans="2:29" ht="29" x14ac:dyDescent="0.35">
      <c r="B57" s="3">
        <v>54</v>
      </c>
      <c r="C57" s="3" t="s">
        <v>20</v>
      </c>
      <c r="D57" s="4" t="s">
        <v>146</v>
      </c>
      <c r="E57" s="4" t="s">
        <v>147</v>
      </c>
      <c r="F57" s="5" t="s">
        <v>122</v>
      </c>
      <c r="G57" s="5" t="s">
        <v>123</v>
      </c>
      <c r="H57" s="5" t="s">
        <v>45</v>
      </c>
      <c r="I57" s="5" t="s">
        <v>131</v>
      </c>
      <c r="J57" s="5"/>
      <c r="K57" s="6"/>
      <c r="L57" s="3"/>
      <c r="M57" s="3" t="s">
        <v>30</v>
      </c>
      <c r="N57" s="7">
        <v>45309</v>
      </c>
      <c r="O57" s="7">
        <v>45443</v>
      </c>
      <c r="P57" s="7"/>
      <c r="Q57" s="7"/>
      <c r="R57" s="7">
        <v>45441</v>
      </c>
      <c r="S57" s="9" t="str" cm="1">
        <f t="array" aca="1" ref="S57" ca="1">IF(O57="","Sem prazo",(_xlfn.IFS((AND(R57="",O57&lt;=$M$1)),"Atrasada",AND(OR(R57="",R57&gt;=$M$1),O57&gt;$M$1),"Em andamento",R57="Cancelada","Cancelada",(OR(R57&lt;&gt;"",R57&lt;&gt;"Cancelada")),"Concluída")))</f>
        <v>Concluída</v>
      </c>
      <c r="T57" s="11"/>
      <c r="U57" s="13"/>
      <c r="V57" s="10" t="e">
        <f>_xlfn.XLOOKUP(O57,#REF!,#REF!)</f>
        <v>#REF!</v>
      </c>
      <c r="W57" s="10"/>
    </row>
    <row r="58" spans="2:29" ht="29" x14ac:dyDescent="0.35">
      <c r="B58" s="3">
        <v>55</v>
      </c>
      <c r="C58" s="3" t="s">
        <v>20</v>
      </c>
      <c r="D58" s="4" t="s">
        <v>146</v>
      </c>
      <c r="E58" s="4" t="s">
        <v>147</v>
      </c>
      <c r="F58" s="5" t="s">
        <v>122</v>
      </c>
      <c r="G58" s="5" t="s">
        <v>123</v>
      </c>
      <c r="H58" s="5" t="s">
        <v>45</v>
      </c>
      <c r="I58" s="5" t="s">
        <v>151</v>
      </c>
      <c r="J58" s="5"/>
      <c r="K58" s="6"/>
      <c r="L58" s="3"/>
      <c r="M58" s="3" t="s">
        <v>152</v>
      </c>
      <c r="N58" s="7">
        <v>45309</v>
      </c>
      <c r="O58" s="7">
        <v>45443</v>
      </c>
      <c r="P58" s="7"/>
      <c r="Q58" s="7"/>
      <c r="R58" s="7">
        <v>45406</v>
      </c>
      <c r="S58" s="9" t="str" cm="1">
        <f t="array" aca="1" ref="S58" ca="1">IF(O58="","Sem prazo",(_xlfn.IFS((AND(R58="",O58&lt;=$M$1)),"Atrasada",AND(OR(R58="",R58&gt;=$M$1),O58&gt;$M$1),"Em andamento",R58="Cancelada","Cancelada",(OR(R58&lt;&gt;"",R58&lt;&gt;"Cancelada")),"Concluída")))</f>
        <v>Concluída</v>
      </c>
      <c r="T58" s="11"/>
      <c r="U58" s="13"/>
      <c r="V58" s="10" t="e">
        <f>_xlfn.XLOOKUP(O58,#REF!,#REF!)</f>
        <v>#REF!</v>
      </c>
      <c r="W58" s="10"/>
    </row>
    <row r="59" spans="2:29" ht="29" x14ac:dyDescent="0.35">
      <c r="B59" s="3">
        <v>56</v>
      </c>
      <c r="C59" s="3" t="s">
        <v>20</v>
      </c>
      <c r="D59" s="4" t="s">
        <v>146</v>
      </c>
      <c r="E59" s="4" t="s">
        <v>147</v>
      </c>
      <c r="F59" s="5" t="s">
        <v>122</v>
      </c>
      <c r="G59" s="5" t="s">
        <v>123</v>
      </c>
      <c r="H59" s="5" t="s">
        <v>45</v>
      </c>
      <c r="I59" s="5" t="s">
        <v>153</v>
      </c>
      <c r="J59" s="5"/>
      <c r="K59" s="6"/>
      <c r="L59" s="3"/>
      <c r="M59" s="3" t="s">
        <v>68</v>
      </c>
      <c r="N59" s="7">
        <v>45309</v>
      </c>
      <c r="O59" s="7">
        <v>45351</v>
      </c>
      <c r="P59" s="7"/>
      <c r="Q59" s="7"/>
      <c r="R59" s="8">
        <v>45351</v>
      </c>
      <c r="S59" s="9" t="str" cm="1">
        <f t="array" aca="1" ref="S59" ca="1">IF(O59="","Sem prazo",(_xlfn.IFS((AND(R59="",O59&lt;=$M$1)),"Atrasada",AND(OR(R59="",R59&gt;=$M$1),O59&gt;$M$1),"Em andamento",R59="Cancelada","Cancelada",(OR(R59&lt;&gt;"",R59&lt;&gt;"Cancelada")),"Concluída")))</f>
        <v>Concluída</v>
      </c>
      <c r="T59" s="11"/>
      <c r="U59" s="13"/>
      <c r="V59" s="10" t="e">
        <f>_xlfn.XLOOKUP(O59,#REF!,#REF!)</f>
        <v>#REF!</v>
      </c>
      <c r="W59" s="10" t="e">
        <f>_xlfn.XLOOKUP(R59,#REF!,#REF!)</f>
        <v>#REF!</v>
      </c>
    </row>
    <row r="60" spans="2:29" ht="29" x14ac:dyDescent="0.35">
      <c r="B60" s="3">
        <v>57</v>
      </c>
      <c r="C60" s="3" t="s">
        <v>20</v>
      </c>
      <c r="D60" s="4" t="s">
        <v>146</v>
      </c>
      <c r="E60" s="4" t="s">
        <v>147</v>
      </c>
      <c r="F60" s="5" t="s">
        <v>122</v>
      </c>
      <c r="G60" s="5" t="s">
        <v>123</v>
      </c>
      <c r="H60" s="5" t="s">
        <v>45</v>
      </c>
      <c r="I60" s="5" t="s">
        <v>154</v>
      </c>
      <c r="J60" s="5"/>
      <c r="K60" s="6"/>
      <c r="L60" s="3"/>
      <c r="M60" s="3" t="s">
        <v>155</v>
      </c>
      <c r="N60" s="7">
        <v>45309</v>
      </c>
      <c r="O60" s="7">
        <v>45382</v>
      </c>
      <c r="P60" s="7"/>
      <c r="Q60" s="7"/>
      <c r="R60" s="8">
        <v>45366</v>
      </c>
      <c r="S60" s="9" t="str" cm="1">
        <f t="array" aca="1" ref="S60" ca="1">IF(O60="","Sem prazo",(_xlfn.IFS((AND(R60="",O60&lt;=$M$1)),"Atrasada",AND(OR(R60="",R60&gt;=$M$1),O60&gt;$M$1),"Em andamento",R60="Cancelada","Cancelada",(OR(R60&lt;&gt;"",R60&lt;&gt;"Cancelada")),"Concluída")))</f>
        <v>Concluída</v>
      </c>
      <c r="T60" s="11"/>
      <c r="U60" s="13"/>
      <c r="V60" s="10" t="e">
        <f>_xlfn.XLOOKUP(O60,#REF!,#REF!)</f>
        <v>#REF!</v>
      </c>
      <c r="W60" s="10"/>
    </row>
    <row r="61" spans="2:29" ht="29" x14ac:dyDescent="0.35">
      <c r="B61" s="3">
        <v>58</v>
      </c>
      <c r="C61" s="3" t="s">
        <v>20</v>
      </c>
      <c r="D61" s="4" t="s">
        <v>146</v>
      </c>
      <c r="E61" s="4" t="s">
        <v>147</v>
      </c>
      <c r="F61" s="5" t="s">
        <v>122</v>
      </c>
      <c r="G61" s="5" t="s">
        <v>123</v>
      </c>
      <c r="H61" s="5" t="s">
        <v>45</v>
      </c>
      <c r="I61" s="5" t="s">
        <v>156</v>
      </c>
      <c r="J61" s="5"/>
      <c r="K61" s="6"/>
      <c r="L61" s="3"/>
      <c r="M61" s="3" t="s">
        <v>155</v>
      </c>
      <c r="N61" s="7">
        <v>45309</v>
      </c>
      <c r="O61" s="7">
        <v>45313</v>
      </c>
      <c r="P61" s="7">
        <v>45317</v>
      </c>
      <c r="Q61" s="7"/>
      <c r="R61" s="7">
        <v>45321</v>
      </c>
      <c r="S61" s="9" t="str" cm="1">
        <f t="array" aca="1" ref="S61" ca="1">IF(O61="","Sem prazo",(_xlfn.IFS((AND(R61="",O61&lt;=$M$1)),"Atrasada",AND(OR(R61="",R61&gt;=$M$1),O61&gt;$M$1),"Em andamento",R61="Cancelada","Cancelada",(OR(R61&lt;&gt;"",R61&lt;&gt;"Cancelada")),"Concluída")))</f>
        <v>Concluída</v>
      </c>
      <c r="T61" s="11"/>
      <c r="U61" s="22" t="s">
        <v>157</v>
      </c>
      <c r="V61" s="10" t="e">
        <f>_xlfn.XLOOKUP(O61,#REF!,#REF!)</f>
        <v>#REF!</v>
      </c>
      <c r="W61" s="10" t="e">
        <f>_xlfn.XLOOKUP(R61,#REF!,#REF!)</f>
        <v>#REF!</v>
      </c>
      <c r="AC61" s="2" t="s">
        <v>158</v>
      </c>
    </row>
    <row r="62" spans="2:29" ht="29" x14ac:dyDescent="0.35">
      <c r="B62" s="3">
        <v>59</v>
      </c>
      <c r="C62" s="3" t="s">
        <v>20</v>
      </c>
      <c r="D62" s="4" t="s">
        <v>159</v>
      </c>
      <c r="E62" s="4" t="s">
        <v>147</v>
      </c>
      <c r="F62" s="5" t="s">
        <v>122</v>
      </c>
      <c r="G62" s="5" t="s">
        <v>123</v>
      </c>
      <c r="H62" s="5" t="s">
        <v>45</v>
      </c>
      <c r="I62" s="5" t="s">
        <v>160</v>
      </c>
      <c r="J62" s="5"/>
      <c r="K62" s="6"/>
      <c r="L62" s="3"/>
      <c r="M62" s="3" t="s">
        <v>155</v>
      </c>
      <c r="N62" s="7">
        <v>45309</v>
      </c>
      <c r="O62" s="7">
        <v>45317</v>
      </c>
      <c r="P62" s="7"/>
      <c r="Q62" s="7"/>
      <c r="R62" s="7">
        <v>45315</v>
      </c>
      <c r="S62" s="9" t="str" cm="1">
        <f t="array" aca="1" ref="S62" ca="1">IF(O62="","Sem prazo",(_xlfn.IFS((AND(R62="",O62&lt;=$M$1)),"Atrasada",AND(OR(R62="",R62&gt;=$M$1),O62&gt;$M$1),"Em andamento",R62="Cancelada","Cancelada",(OR(R62&lt;&gt;"",R62&lt;&gt;"Cancelada")),"Concluída")))</f>
        <v>Concluída</v>
      </c>
      <c r="T62" s="11"/>
      <c r="U62" s="13"/>
      <c r="V62" s="10" t="e">
        <f>_xlfn.XLOOKUP(O62,#REF!,#REF!)</f>
        <v>#REF!</v>
      </c>
      <c r="W62" s="10" t="e">
        <f>_xlfn.XLOOKUP(R62,#REF!,#REF!)</f>
        <v>#REF!</v>
      </c>
      <c r="AC62" s="2" t="s">
        <v>161</v>
      </c>
    </row>
    <row r="63" spans="2:29" ht="29" x14ac:dyDescent="0.35">
      <c r="B63" s="3">
        <v>60</v>
      </c>
      <c r="C63" s="3" t="s">
        <v>20</v>
      </c>
      <c r="D63" s="12" t="s">
        <v>162</v>
      </c>
      <c r="E63" s="12" t="s">
        <v>40</v>
      </c>
      <c r="F63" s="5" t="s">
        <v>163</v>
      </c>
      <c r="G63" s="5" t="s">
        <v>164</v>
      </c>
      <c r="H63" s="5" t="s">
        <v>45</v>
      </c>
      <c r="I63" s="5" t="s">
        <v>165</v>
      </c>
      <c r="J63" s="5"/>
      <c r="K63" s="6"/>
      <c r="L63" s="3"/>
      <c r="M63" s="3" t="s">
        <v>166</v>
      </c>
      <c r="N63" s="7">
        <v>45312</v>
      </c>
      <c r="O63" s="7">
        <v>45316</v>
      </c>
      <c r="P63" s="7">
        <v>45321</v>
      </c>
      <c r="Q63" s="7"/>
      <c r="R63" s="7">
        <v>45317</v>
      </c>
      <c r="S63" s="9" t="str" cm="1">
        <f t="array" aca="1" ref="S63" ca="1">IF(O63="","Sem prazo",(_xlfn.IFS((AND(R63="",O63&lt;=$M$1)),"Atrasada",AND(OR(R63="",R63&gt;=$M$1),O63&gt;$M$1),"Em andamento",R63="Cancelada","Cancelada",(OR(R63&lt;&gt;"",R63&lt;&gt;"Cancelada")),"Concluída")))</f>
        <v>Concluída</v>
      </c>
      <c r="T63" s="11"/>
      <c r="U63" s="13" t="s">
        <v>167</v>
      </c>
      <c r="V63" s="10" t="e">
        <f>_xlfn.XLOOKUP(O63,#REF!,#REF!)</f>
        <v>#REF!</v>
      </c>
      <c r="W63" s="10" t="e">
        <f>_xlfn.XLOOKUP(R63,#REF!,#REF!)</f>
        <v>#REF!</v>
      </c>
      <c r="AC63" s="2" t="s">
        <v>168</v>
      </c>
    </row>
    <row r="64" spans="2:29" ht="29" x14ac:dyDescent="0.35">
      <c r="B64" s="3">
        <v>61</v>
      </c>
      <c r="C64" s="3" t="s">
        <v>20</v>
      </c>
      <c r="D64" s="12" t="s">
        <v>169</v>
      </c>
      <c r="E64" s="12" t="s">
        <v>170</v>
      </c>
      <c r="F64" s="5" t="s">
        <v>163</v>
      </c>
      <c r="G64" s="5" t="s">
        <v>164</v>
      </c>
      <c r="H64" s="5" t="s">
        <v>45</v>
      </c>
      <c r="I64" s="5" t="s">
        <v>165</v>
      </c>
      <c r="J64" s="5"/>
      <c r="K64" s="6"/>
      <c r="L64" s="3"/>
      <c r="M64" s="3" t="s">
        <v>166</v>
      </c>
      <c r="N64" s="7">
        <v>45312</v>
      </c>
      <c r="O64" s="7">
        <v>45316</v>
      </c>
      <c r="P64" s="7">
        <v>45321</v>
      </c>
      <c r="Q64" s="7"/>
      <c r="R64" s="7">
        <v>45321</v>
      </c>
      <c r="S64" s="9" t="str" cm="1">
        <f t="array" aca="1" ref="S64" ca="1">IF(O64="","Sem prazo",(_xlfn.IFS((AND(R64="",O64&lt;=$M$1)),"Atrasada",AND(OR(R64="",R64&gt;=$M$1),O64&gt;$M$1),"Em andamento",R64="Cancelada","Cancelada",(OR(R64&lt;&gt;"",R64&lt;&gt;"Cancelada")),"Concluída")))</f>
        <v>Concluída</v>
      </c>
      <c r="T64" s="11"/>
      <c r="U64" s="13"/>
      <c r="V64" s="10" t="e">
        <f>_xlfn.XLOOKUP(O64,#REF!,#REF!)</f>
        <v>#REF!</v>
      </c>
      <c r="W64" s="10" t="e">
        <f>_xlfn.XLOOKUP(R64,#REF!,#REF!)</f>
        <v>#REF!</v>
      </c>
      <c r="AC64" s="2" t="s">
        <v>171</v>
      </c>
    </row>
    <row r="65" spans="2:29" ht="29" x14ac:dyDescent="0.35">
      <c r="B65" s="3">
        <v>62</v>
      </c>
      <c r="C65" s="3" t="s">
        <v>20</v>
      </c>
      <c r="D65" s="12"/>
      <c r="E65" s="12"/>
      <c r="F65" s="5"/>
      <c r="G65" s="5" t="s">
        <v>141</v>
      </c>
      <c r="H65" s="5" t="s">
        <v>45</v>
      </c>
      <c r="I65" s="5" t="s">
        <v>172</v>
      </c>
      <c r="J65" s="5"/>
      <c r="K65" s="6"/>
      <c r="L65" s="3"/>
      <c r="M65" s="3" t="s">
        <v>173</v>
      </c>
      <c r="N65" s="7">
        <v>45316</v>
      </c>
      <c r="O65" s="7">
        <v>45316</v>
      </c>
      <c r="P65" s="7"/>
      <c r="Q65" s="7"/>
      <c r="R65" s="7">
        <v>45316</v>
      </c>
      <c r="S65" s="9" t="str" cm="1">
        <f t="array" aca="1" ref="S65" ca="1">IF(O65="","Sem prazo",(_xlfn.IFS((AND(R65="",O65&lt;=$M$1)),"Atrasada",AND(OR(R65="",R65&gt;=$M$1),O65&gt;$M$1),"Em andamento",R65="Cancelada","Cancelada",(OR(R65&lt;&gt;"",R65&lt;&gt;"Cancelada")),"Concluída")))</f>
        <v>Concluída</v>
      </c>
      <c r="T65" s="11"/>
      <c r="U65" s="13"/>
      <c r="V65" s="10" t="e">
        <f>_xlfn.XLOOKUP(O65,#REF!,#REF!)</f>
        <v>#REF!</v>
      </c>
      <c r="W65" s="10" t="e">
        <f>_xlfn.XLOOKUP(R65,#REF!,#REF!)</f>
        <v>#REF!</v>
      </c>
      <c r="AC65" s="2" t="s">
        <v>174</v>
      </c>
    </row>
    <row r="66" spans="2:29" ht="29" x14ac:dyDescent="0.35">
      <c r="B66" s="3">
        <v>63</v>
      </c>
      <c r="C66" s="3" t="s">
        <v>20</v>
      </c>
      <c r="D66" s="4" t="s">
        <v>90</v>
      </c>
      <c r="E66" s="4" t="s">
        <v>91</v>
      </c>
      <c r="F66" s="5" t="s">
        <v>175</v>
      </c>
      <c r="G66" s="5" t="s">
        <v>176</v>
      </c>
      <c r="H66" s="5" t="s">
        <v>45</v>
      </c>
      <c r="I66" s="5" t="s">
        <v>177</v>
      </c>
      <c r="J66" s="5"/>
      <c r="K66" s="6"/>
      <c r="L66" s="3"/>
      <c r="M66" s="3" t="s">
        <v>173</v>
      </c>
      <c r="N66" s="7">
        <v>45316</v>
      </c>
      <c r="O66" s="7">
        <v>45317</v>
      </c>
      <c r="P66" s="7"/>
      <c r="Q66" s="7"/>
      <c r="R66" s="7">
        <v>45316</v>
      </c>
      <c r="S66" s="9" t="str" cm="1">
        <f t="array" aca="1" ref="S66" ca="1">IF(O66="","Sem prazo",(_xlfn.IFS((AND(R66="",O66&lt;=$M$1)),"Atrasada",AND(OR(R66="",R66&gt;=$M$1),O66&gt;$M$1),"Em andamento",R66="Cancelada","Cancelada",(OR(R66&lt;&gt;"",R66&lt;&gt;"Cancelada")),"Concluída")))</f>
        <v>Concluída</v>
      </c>
      <c r="T66" s="11"/>
      <c r="U66" s="33"/>
      <c r="V66" s="10" t="e">
        <f>_xlfn.XLOOKUP(O66,#REF!,#REF!)</f>
        <v>#REF!</v>
      </c>
      <c r="W66" s="10" t="e">
        <f>_xlfn.XLOOKUP(R66,#REF!,#REF!)</f>
        <v>#REF!</v>
      </c>
    </row>
    <row r="67" spans="2:29" ht="29" x14ac:dyDescent="0.35">
      <c r="B67" s="3">
        <v>64</v>
      </c>
      <c r="C67" s="3" t="s">
        <v>161</v>
      </c>
      <c r="D67" s="12" t="s">
        <v>178</v>
      </c>
      <c r="E67" s="12"/>
      <c r="F67" s="5" t="s">
        <v>179</v>
      </c>
      <c r="G67" s="5" t="s">
        <v>180</v>
      </c>
      <c r="H67" s="5" t="s">
        <v>45</v>
      </c>
      <c r="I67" s="5" t="s">
        <v>181</v>
      </c>
      <c r="J67" s="5"/>
      <c r="K67" s="6">
        <v>6369</v>
      </c>
      <c r="L67" s="3"/>
      <c r="M67" s="3" t="s">
        <v>182</v>
      </c>
      <c r="N67" s="7">
        <v>45316</v>
      </c>
      <c r="O67" s="7">
        <v>45351</v>
      </c>
      <c r="P67" s="7"/>
      <c r="Q67" s="7"/>
      <c r="R67" s="7">
        <v>45336</v>
      </c>
      <c r="S67" s="9" t="str" cm="1">
        <f t="array" aca="1" ref="S67" ca="1">IF(O67="","Sem prazo",(_xlfn.IFS((AND(R67="",O67&lt;=$M$1)),"Atrasada",AND(OR(R67="",R67&gt;=$M$1),O67&gt;$M$1),"Em andamento",R67="Cancelada","Cancelada",(OR(R67&lt;&gt;"",R67&lt;&gt;"Cancelada")),"Concluída")))</f>
        <v>Concluída</v>
      </c>
      <c r="T67" s="32"/>
      <c r="U67" s="34"/>
      <c r="V67" s="10" t="e">
        <f>_xlfn.XLOOKUP(O67,#REF!,#REF!)</f>
        <v>#REF!</v>
      </c>
      <c r="W67" s="10" t="e">
        <f>_xlfn.XLOOKUP(R67,#REF!,#REF!)</f>
        <v>#REF!</v>
      </c>
    </row>
    <row r="68" spans="2:29" ht="29" x14ac:dyDescent="0.35">
      <c r="B68" s="3">
        <v>65</v>
      </c>
      <c r="C68" s="3" t="s">
        <v>161</v>
      </c>
      <c r="D68" s="12"/>
      <c r="E68" s="12"/>
      <c r="F68" s="5" t="s">
        <v>179</v>
      </c>
      <c r="G68" s="5" t="s">
        <v>183</v>
      </c>
      <c r="H68" s="5" t="s">
        <v>45</v>
      </c>
      <c r="I68" s="5" t="s">
        <v>181</v>
      </c>
      <c r="J68" s="5"/>
      <c r="K68" s="6">
        <v>6370</v>
      </c>
      <c r="L68" s="3"/>
      <c r="M68" s="3" t="s">
        <v>182</v>
      </c>
      <c r="N68" s="7">
        <v>45316</v>
      </c>
      <c r="O68" s="7">
        <v>45351</v>
      </c>
      <c r="P68" s="7"/>
      <c r="Q68" s="7"/>
      <c r="R68" s="7">
        <v>45336</v>
      </c>
      <c r="S68" s="9" t="str" cm="1">
        <f t="array" aca="1" ref="S68" ca="1">IF(O68="","Sem prazo",(_xlfn.IFS((AND(R68="",O68&lt;=$M$1)),"Atrasada",AND(OR(R68="",R68&gt;=$M$1),O68&gt;$M$1),"Em andamento",R68="Cancelada","Cancelada",(OR(R68&lt;&gt;"",R68&lt;&gt;"Cancelada")),"Concluída")))</f>
        <v>Concluída</v>
      </c>
      <c r="T68" s="32"/>
      <c r="U68" s="34"/>
      <c r="V68" s="10" t="e">
        <f>_xlfn.XLOOKUP(O68,#REF!,#REF!)</f>
        <v>#REF!</v>
      </c>
      <c r="W68" s="10" t="e">
        <f>_xlfn.XLOOKUP(R68,#REF!,#REF!)</f>
        <v>#REF!</v>
      </c>
    </row>
    <row r="69" spans="2:29" ht="43.5" x14ac:dyDescent="0.35">
      <c r="B69" s="3">
        <v>66</v>
      </c>
      <c r="C69" s="3" t="s">
        <v>161</v>
      </c>
      <c r="D69" s="12" t="s">
        <v>184</v>
      </c>
      <c r="E69" s="12" t="s">
        <v>22</v>
      </c>
      <c r="F69" s="5" t="s">
        <v>185</v>
      </c>
      <c r="G69" s="5" t="s">
        <v>186</v>
      </c>
      <c r="H69" s="5" t="s">
        <v>45</v>
      </c>
      <c r="I69" s="5" t="s">
        <v>187</v>
      </c>
      <c r="J69" s="5"/>
      <c r="K69" s="6">
        <v>6557</v>
      </c>
      <c r="L69" s="3"/>
      <c r="M69" s="3" t="s">
        <v>182</v>
      </c>
      <c r="N69" s="7">
        <v>45316</v>
      </c>
      <c r="O69" s="7">
        <v>45351</v>
      </c>
      <c r="P69" s="7"/>
      <c r="Q69" s="7"/>
      <c r="R69" s="7">
        <v>45342</v>
      </c>
      <c r="S69" s="9" t="str" cm="1">
        <f t="array" aca="1" ref="S69" ca="1">IF(O69="","Sem prazo",(_xlfn.IFS((AND(R69="",O69&lt;=$M$1)),"Atrasada",AND(OR(R69="",R69&gt;=$M$1),O69&gt;$M$1),"Em andamento",R69="Cancelada","Cancelada",(OR(R69&lt;&gt;"",R69&lt;&gt;"Cancelada")),"Concluída")))</f>
        <v>Concluída</v>
      </c>
      <c r="T69" s="11"/>
      <c r="U69" s="34"/>
      <c r="V69" s="10" t="e">
        <f>_xlfn.XLOOKUP(O69,#REF!,#REF!)</f>
        <v>#REF!</v>
      </c>
      <c r="W69" s="10" t="e">
        <f>_xlfn.XLOOKUP(R69,#REF!,#REF!)</f>
        <v>#REF!</v>
      </c>
    </row>
    <row r="70" spans="2:29" ht="43.5" x14ac:dyDescent="0.35">
      <c r="B70" s="3">
        <v>67</v>
      </c>
      <c r="C70" s="3" t="s">
        <v>161</v>
      </c>
      <c r="D70" s="12"/>
      <c r="E70" s="12"/>
      <c r="F70" s="5" t="s">
        <v>188</v>
      </c>
      <c r="G70" s="5" t="s">
        <v>189</v>
      </c>
      <c r="H70" s="5" t="s">
        <v>45</v>
      </c>
      <c r="I70" s="5" t="s">
        <v>190</v>
      </c>
      <c r="J70" s="5"/>
      <c r="K70" s="6">
        <v>6372</v>
      </c>
      <c r="L70" s="3"/>
      <c r="M70" s="3" t="s">
        <v>182</v>
      </c>
      <c r="N70" s="7">
        <v>45316</v>
      </c>
      <c r="O70" s="7">
        <v>45351</v>
      </c>
      <c r="P70" s="7"/>
      <c r="Q70" s="7"/>
      <c r="R70" s="7">
        <v>45336</v>
      </c>
      <c r="S70" s="9" t="str" cm="1">
        <f t="array" aca="1" ref="S70" ca="1">IF(O70="","Sem prazo",(_xlfn.IFS((AND(R70="",O70&lt;=$M$1)),"Atrasada",AND(OR(R70="",R70&gt;=$M$1),O70&gt;$M$1),"Em andamento",R70="Cancelada","Cancelada",(OR(R70&lt;&gt;"",R70&lt;&gt;"Cancelada")),"Concluída")))</f>
        <v>Concluída</v>
      </c>
      <c r="T70" s="11"/>
      <c r="U70" s="13"/>
      <c r="V70" s="10" t="e">
        <f>_xlfn.XLOOKUP(O70,#REF!,#REF!)</f>
        <v>#REF!</v>
      </c>
      <c r="W70" s="10" t="e">
        <f>_xlfn.XLOOKUP(R70,#REF!,#REF!)</f>
        <v>#REF!</v>
      </c>
    </row>
    <row r="71" spans="2:29" ht="29" x14ac:dyDescent="0.35">
      <c r="B71" s="3">
        <v>68</v>
      </c>
      <c r="C71" s="3" t="s">
        <v>161</v>
      </c>
      <c r="D71" s="12" t="s">
        <v>191</v>
      </c>
      <c r="E71" s="12" t="s">
        <v>71</v>
      </c>
      <c r="F71" s="5" t="s">
        <v>188</v>
      </c>
      <c r="G71" s="5" t="s">
        <v>192</v>
      </c>
      <c r="H71" s="5" t="s">
        <v>45</v>
      </c>
      <c r="I71" s="5" t="s">
        <v>193</v>
      </c>
      <c r="J71" s="5"/>
      <c r="K71" s="6">
        <v>6563</v>
      </c>
      <c r="L71" s="3"/>
      <c r="M71" s="3" t="s">
        <v>182</v>
      </c>
      <c r="N71" s="7">
        <v>45316</v>
      </c>
      <c r="O71" s="7">
        <v>45351</v>
      </c>
      <c r="P71" s="7"/>
      <c r="Q71" s="7"/>
      <c r="R71" s="8">
        <v>45336</v>
      </c>
      <c r="S71" s="9" t="str" cm="1">
        <f t="array" aca="1" ref="S71" ca="1">IF(O71="","Sem prazo",(_xlfn.IFS((AND(R71="",O71&lt;=$M$1)),"Atrasada",AND(OR(R71="",R71&gt;=$M$1),O71&gt;$M$1),"Em andamento",R71="Cancelada","Cancelada",(OR(R71&lt;&gt;"",R71&lt;&gt;"Cancelada")),"Concluída")))</f>
        <v>Concluída</v>
      </c>
      <c r="T71" s="11"/>
      <c r="U71" s="14"/>
      <c r="V71" s="10" t="e">
        <f>_xlfn.XLOOKUP(O71,#REF!,#REF!)</f>
        <v>#REF!</v>
      </c>
      <c r="W71" s="10" t="e">
        <f>_xlfn.XLOOKUP(R71,#REF!,#REF!)</f>
        <v>#REF!</v>
      </c>
    </row>
    <row r="72" spans="2:29" ht="32.5" customHeight="1" x14ac:dyDescent="0.35">
      <c r="B72" s="3">
        <v>69</v>
      </c>
      <c r="C72" s="3" t="s">
        <v>161</v>
      </c>
      <c r="D72" s="12" t="s">
        <v>178</v>
      </c>
      <c r="E72" s="12" t="s">
        <v>194</v>
      </c>
      <c r="F72" s="5" t="s">
        <v>195</v>
      </c>
      <c r="G72" s="5" t="s">
        <v>196</v>
      </c>
      <c r="H72" s="5" t="s">
        <v>45</v>
      </c>
      <c r="I72" s="5" t="s">
        <v>181</v>
      </c>
      <c r="J72" s="5"/>
      <c r="K72" s="6">
        <v>6565</v>
      </c>
      <c r="L72" s="3"/>
      <c r="M72" s="3" t="s">
        <v>182</v>
      </c>
      <c r="N72" s="7">
        <v>45316</v>
      </c>
      <c r="O72" s="7">
        <v>45351</v>
      </c>
      <c r="P72" s="7"/>
      <c r="Q72" s="7"/>
      <c r="R72" s="7">
        <v>45336</v>
      </c>
      <c r="S72" s="9" t="str" cm="1">
        <f t="array" aca="1" ref="S72" ca="1">IF(O72="","Sem prazo",(_xlfn.IFS((AND(R72="",O72&lt;=$M$1)),"Atrasada",AND(OR(R72="",R72&gt;=$M$1),O72&gt;$M$1),"Em andamento",R72="Cancelada","Cancelada",(OR(R72&lt;&gt;"",R72&lt;&gt;"Cancelada")),"Concluída")))</f>
        <v>Concluída</v>
      </c>
      <c r="T72" s="11"/>
      <c r="U72" s="14"/>
      <c r="V72" s="10" t="e">
        <f>_xlfn.XLOOKUP(O72,#REF!,#REF!)</f>
        <v>#REF!</v>
      </c>
      <c r="W72" s="10" t="e">
        <f>_xlfn.XLOOKUP(R72,#REF!,#REF!)</f>
        <v>#REF!</v>
      </c>
    </row>
    <row r="73" spans="2:29" ht="32.5" customHeight="1" x14ac:dyDescent="0.35">
      <c r="B73" s="3">
        <v>70</v>
      </c>
      <c r="C73" s="3" t="s">
        <v>161</v>
      </c>
      <c r="D73" s="12"/>
      <c r="E73" s="12"/>
      <c r="F73" s="5" t="s">
        <v>197</v>
      </c>
      <c r="G73" s="5" t="s">
        <v>198</v>
      </c>
      <c r="H73" s="5" t="s">
        <v>45</v>
      </c>
      <c r="I73" s="5" t="s">
        <v>199</v>
      </c>
      <c r="J73" s="5"/>
      <c r="K73" s="6">
        <v>6446</v>
      </c>
      <c r="L73" s="3"/>
      <c r="M73" s="3" t="s">
        <v>182</v>
      </c>
      <c r="N73" s="7">
        <v>45316</v>
      </c>
      <c r="O73" s="7">
        <v>45336</v>
      </c>
      <c r="P73" s="7"/>
      <c r="Q73" s="7"/>
      <c r="R73" s="7">
        <v>45336</v>
      </c>
      <c r="S73" s="9" t="str" cm="1">
        <f t="array" aca="1" ref="S73" ca="1">IF(O73="","Sem prazo",(_xlfn.IFS((AND(R73="",O73&lt;=$M$1)),"Atrasada",AND(OR(R73="",R73&gt;=$M$1),O73&gt;$M$1),"Em andamento",R73="Cancelada","Cancelada",(OR(R73&lt;&gt;"",R73&lt;&gt;"Cancelada")),"Concluída")))</f>
        <v>Concluída</v>
      </c>
      <c r="T73" s="11"/>
      <c r="U73" s="14"/>
      <c r="V73" s="10" t="e">
        <f>_xlfn.XLOOKUP(O73,#REF!,#REF!)</f>
        <v>#REF!</v>
      </c>
      <c r="W73" s="10" t="e">
        <f>_xlfn.XLOOKUP(R73,#REF!,#REF!)</f>
        <v>#REF!</v>
      </c>
    </row>
    <row r="74" spans="2:29" ht="32.5" customHeight="1" x14ac:dyDescent="0.35">
      <c r="B74" s="3">
        <v>71</v>
      </c>
      <c r="C74" s="3" t="s">
        <v>161</v>
      </c>
      <c r="D74" s="12" t="s">
        <v>200</v>
      </c>
      <c r="E74" s="12" t="s">
        <v>201</v>
      </c>
      <c r="F74" s="5" t="s">
        <v>202</v>
      </c>
      <c r="G74" s="5" t="s">
        <v>203</v>
      </c>
      <c r="H74" s="5" t="s">
        <v>45</v>
      </c>
      <c r="I74" s="5" t="s">
        <v>204</v>
      </c>
      <c r="J74" s="5"/>
      <c r="K74" s="6">
        <v>6558</v>
      </c>
      <c r="L74" s="3"/>
      <c r="M74" s="3" t="s">
        <v>182</v>
      </c>
      <c r="N74" s="7">
        <v>45316</v>
      </c>
      <c r="O74" s="7">
        <v>45351</v>
      </c>
      <c r="P74" s="7"/>
      <c r="Q74" s="7"/>
      <c r="R74" s="7">
        <v>45339</v>
      </c>
      <c r="S74" s="9" t="str" cm="1">
        <f t="array" aca="1" ref="S74" ca="1">IF(O74="","Sem prazo",(_xlfn.IFS((AND(R74="",O74&lt;=$M$1)),"Atrasada",AND(OR(R74="",R74&gt;=$M$1),O74&gt;$M$1),"Em andamento",R74="Cancelada","Cancelada",(OR(R74&lt;&gt;"",R74&lt;&gt;"Cancelada")),"Concluída")))</f>
        <v>Concluída</v>
      </c>
      <c r="T74" s="11"/>
      <c r="U74" s="14"/>
      <c r="V74" s="10" t="e">
        <f>_xlfn.XLOOKUP(O74,#REF!,#REF!)</f>
        <v>#REF!</v>
      </c>
      <c r="W74" s="10" t="e">
        <f>_xlfn.XLOOKUP(R74,#REF!,#REF!)</f>
        <v>#REF!</v>
      </c>
    </row>
    <row r="75" spans="2:29" ht="32.5" customHeight="1" x14ac:dyDescent="0.35">
      <c r="B75" s="3">
        <v>72</v>
      </c>
      <c r="C75" s="3" t="s">
        <v>161</v>
      </c>
      <c r="D75" s="12"/>
      <c r="E75" s="12"/>
      <c r="F75" s="5" t="s">
        <v>179</v>
      </c>
      <c r="G75" s="5" t="s">
        <v>205</v>
      </c>
      <c r="H75" s="5" t="s">
        <v>45</v>
      </c>
      <c r="I75" s="5" t="s">
        <v>181</v>
      </c>
      <c r="J75" s="5"/>
      <c r="K75" s="6">
        <v>6375</v>
      </c>
      <c r="L75" s="3"/>
      <c r="M75" s="3" t="s">
        <v>182</v>
      </c>
      <c r="N75" s="7">
        <v>45316</v>
      </c>
      <c r="O75" s="7">
        <v>45336</v>
      </c>
      <c r="P75" s="7"/>
      <c r="Q75" s="7"/>
      <c r="R75" s="7">
        <v>45336</v>
      </c>
      <c r="S75" s="9" t="str" cm="1">
        <f t="array" aca="1" ref="S75" ca="1">IF(O75="","Sem prazo",(_xlfn.IFS((AND(R75="",O75&lt;=$M$1)),"Atrasada",AND(OR(R75="",R75&gt;=$M$1),O75&gt;$M$1),"Em andamento",R75="Cancelada","Cancelada",(OR(R75&lt;&gt;"",R75&lt;&gt;"Cancelada")),"Concluída")))</f>
        <v>Concluída</v>
      </c>
      <c r="T75" s="11"/>
      <c r="U75" s="14"/>
      <c r="V75" s="10" t="e">
        <f>_xlfn.XLOOKUP(O75,#REF!,#REF!)</f>
        <v>#REF!</v>
      </c>
      <c r="W75" s="10" t="e">
        <f>_xlfn.XLOOKUP(R75,#REF!,#REF!)</f>
        <v>#REF!</v>
      </c>
    </row>
    <row r="76" spans="2:29" ht="32.5" customHeight="1" x14ac:dyDescent="0.35">
      <c r="B76" s="3">
        <v>73</v>
      </c>
      <c r="C76" s="3" t="s">
        <v>161</v>
      </c>
      <c r="D76" s="12"/>
      <c r="E76" s="12"/>
      <c r="F76" s="5" t="s">
        <v>179</v>
      </c>
      <c r="G76" s="5" t="s">
        <v>206</v>
      </c>
      <c r="H76" s="5" t="s">
        <v>45</v>
      </c>
      <c r="I76" s="5" t="s">
        <v>181</v>
      </c>
      <c r="J76" s="5"/>
      <c r="K76" s="6">
        <v>6447</v>
      </c>
      <c r="L76" s="3"/>
      <c r="M76" s="3" t="s">
        <v>182</v>
      </c>
      <c r="N76" s="7">
        <v>45316</v>
      </c>
      <c r="O76" s="7">
        <v>45336</v>
      </c>
      <c r="P76" s="7"/>
      <c r="Q76" s="7"/>
      <c r="R76" s="7">
        <v>45336</v>
      </c>
      <c r="S76" s="9" t="str" cm="1">
        <f t="array" aca="1" ref="S76" ca="1">IF(O76="","Sem prazo",(_xlfn.IFS((AND(R76="",O76&lt;=$M$1)),"Atrasada",AND(OR(R76="",R76&gt;=$M$1),O76&gt;$M$1),"Em andamento",R76="Cancelada","Cancelada",(OR(R76&lt;&gt;"",R76&lt;&gt;"Cancelada")),"Concluída")))</f>
        <v>Concluída</v>
      </c>
      <c r="T76" s="11"/>
      <c r="U76" s="14"/>
      <c r="V76" s="10" t="e">
        <f>_xlfn.XLOOKUP(O76,#REF!,#REF!)</f>
        <v>#REF!</v>
      </c>
      <c r="W76" s="10" t="e">
        <f>_xlfn.XLOOKUP(R76,#REF!,#REF!)</f>
        <v>#REF!</v>
      </c>
    </row>
    <row r="77" spans="2:29" ht="32.5" customHeight="1" x14ac:dyDescent="0.35">
      <c r="B77" s="3">
        <v>74</v>
      </c>
      <c r="C77" s="3" t="s">
        <v>161</v>
      </c>
      <c r="D77" s="12"/>
      <c r="E77" s="12"/>
      <c r="F77" s="5" t="s">
        <v>188</v>
      </c>
      <c r="G77" s="5" t="s">
        <v>207</v>
      </c>
      <c r="H77" s="5" t="s">
        <v>45</v>
      </c>
      <c r="I77" s="5" t="s">
        <v>190</v>
      </c>
      <c r="J77" s="5"/>
      <c r="K77" s="6">
        <v>6378</v>
      </c>
      <c r="L77" s="3"/>
      <c r="M77" s="3" t="s">
        <v>182</v>
      </c>
      <c r="N77" s="7">
        <v>45316</v>
      </c>
      <c r="O77" s="7">
        <v>45336</v>
      </c>
      <c r="P77" s="7"/>
      <c r="Q77" s="7"/>
      <c r="R77" s="7">
        <v>45336</v>
      </c>
      <c r="S77" s="9" t="str" cm="1">
        <f t="array" aca="1" ref="S77" ca="1">IF(O77="","Sem prazo",(_xlfn.IFS((AND(R77="",O77&lt;=$M$1)),"Atrasada",AND(OR(R77="",R77&gt;=$M$1),O77&gt;$M$1),"Em andamento",R77="Cancelada","Cancelada",(OR(R77&lt;&gt;"",R77&lt;&gt;"Cancelada")),"Concluída")))</f>
        <v>Concluída</v>
      </c>
      <c r="T77" s="11"/>
      <c r="U77" s="14"/>
      <c r="V77" s="10" t="e">
        <f>_xlfn.XLOOKUP(O77,#REF!,#REF!)</f>
        <v>#REF!</v>
      </c>
      <c r="W77" s="10" t="e">
        <f>_xlfn.XLOOKUP(R77,#REF!,#REF!)</f>
        <v>#REF!</v>
      </c>
    </row>
    <row r="78" spans="2:29" ht="32.5" customHeight="1" x14ac:dyDescent="0.35">
      <c r="B78" s="3">
        <v>75</v>
      </c>
      <c r="C78" s="3" t="s">
        <v>161</v>
      </c>
      <c r="D78" s="12" t="s">
        <v>200</v>
      </c>
      <c r="E78" s="12" t="s">
        <v>208</v>
      </c>
      <c r="F78" s="5" t="s">
        <v>209</v>
      </c>
      <c r="G78" s="5" t="s">
        <v>210</v>
      </c>
      <c r="H78" s="5" t="s">
        <v>45</v>
      </c>
      <c r="I78" s="5" t="s">
        <v>211</v>
      </c>
      <c r="J78" s="5"/>
      <c r="K78" s="6">
        <v>6562</v>
      </c>
      <c r="L78" s="3"/>
      <c r="M78" s="3" t="s">
        <v>182</v>
      </c>
      <c r="N78" s="7">
        <v>45316</v>
      </c>
      <c r="O78" s="7">
        <v>45351</v>
      </c>
      <c r="P78" s="7"/>
      <c r="Q78" s="7"/>
      <c r="R78" s="8">
        <v>45356</v>
      </c>
      <c r="S78" s="9" t="str" cm="1">
        <f t="array" aca="1" ref="S78" ca="1">IF(O78="","Sem prazo",(_xlfn.IFS((AND(R78="",O78&lt;=$M$1)),"Atrasada",AND(OR(R78="",R78&gt;=$M$1),O78&gt;$M$1),"Em andamento",R78="Cancelada","Cancelada",(OR(R78&lt;&gt;"",R78&lt;&gt;"Cancelada")),"Concluída")))</f>
        <v>Concluída</v>
      </c>
      <c r="T78" s="11"/>
      <c r="U78" s="14"/>
      <c r="V78" s="10" t="e">
        <f>_xlfn.XLOOKUP(O78,#REF!,#REF!)</f>
        <v>#REF!</v>
      </c>
      <c r="W78" s="10" t="e">
        <f>_xlfn.XLOOKUP(R78,#REF!,#REF!)</f>
        <v>#REF!</v>
      </c>
    </row>
    <row r="79" spans="2:29" ht="32.5" customHeight="1" x14ac:dyDescent="0.35">
      <c r="B79" s="3">
        <v>76</v>
      </c>
      <c r="C79" s="3" t="s">
        <v>161</v>
      </c>
      <c r="D79" s="12" t="s">
        <v>200</v>
      </c>
      <c r="E79" s="12" t="s">
        <v>208</v>
      </c>
      <c r="F79" s="5" t="s">
        <v>197</v>
      </c>
      <c r="G79" s="5" t="s">
        <v>212</v>
      </c>
      <c r="H79" s="5" t="s">
        <v>45</v>
      </c>
      <c r="I79" s="5" t="s">
        <v>213</v>
      </c>
      <c r="J79" s="5"/>
      <c r="K79" s="6">
        <v>6544</v>
      </c>
      <c r="L79" s="3"/>
      <c r="M79" s="3" t="s">
        <v>182</v>
      </c>
      <c r="N79" s="7">
        <v>45316</v>
      </c>
      <c r="O79" s="7">
        <v>45351</v>
      </c>
      <c r="P79" s="7"/>
      <c r="Q79" s="7"/>
      <c r="R79" s="7">
        <v>45336</v>
      </c>
      <c r="S79" s="9" t="str" cm="1">
        <f t="array" aca="1" ref="S79" ca="1">IF(O79="","Sem prazo",(_xlfn.IFS((AND(R79="",O79&lt;=$M$1)),"Atrasada",AND(OR(R79="",R79&gt;=$M$1),O79&gt;$M$1),"Em andamento",R79="Cancelada","Cancelada",(OR(R79&lt;&gt;"",R79&lt;&gt;"Cancelada")),"Concluída")))</f>
        <v>Concluída</v>
      </c>
      <c r="T79" s="11"/>
      <c r="U79" s="14"/>
      <c r="V79" s="10" t="e">
        <f>_xlfn.XLOOKUP(O79,#REF!,#REF!)</f>
        <v>#REF!</v>
      </c>
      <c r="W79" s="10" t="e">
        <f>_xlfn.XLOOKUP(R79,#REF!,#REF!)</f>
        <v>#REF!</v>
      </c>
    </row>
    <row r="80" spans="2:29" ht="32.5" customHeight="1" x14ac:dyDescent="0.35">
      <c r="B80" s="3">
        <v>77</v>
      </c>
      <c r="C80" s="3" t="s">
        <v>161</v>
      </c>
      <c r="D80" s="12" t="s">
        <v>214</v>
      </c>
      <c r="E80" s="12" t="s">
        <v>37</v>
      </c>
      <c r="F80" s="5" t="s">
        <v>215</v>
      </c>
      <c r="G80" s="5" t="s">
        <v>216</v>
      </c>
      <c r="H80" s="5" t="s">
        <v>45</v>
      </c>
      <c r="I80" s="5" t="s">
        <v>217</v>
      </c>
      <c r="J80" s="5"/>
      <c r="K80" s="6">
        <v>6559</v>
      </c>
      <c r="L80" s="3"/>
      <c r="M80" s="3" t="s">
        <v>182</v>
      </c>
      <c r="N80" s="7">
        <v>45316</v>
      </c>
      <c r="O80" s="7">
        <v>45351</v>
      </c>
      <c r="P80" s="7"/>
      <c r="Q80" s="7"/>
      <c r="R80" s="8">
        <v>45339</v>
      </c>
      <c r="S80" s="9" t="str" cm="1">
        <f t="array" aca="1" ref="S80" ca="1">IF(O80="","Sem prazo",(_xlfn.IFS((AND(R80="",O80&lt;=$M$1)),"Atrasada",AND(OR(R80="",R80&gt;=$M$1),O80&gt;$M$1),"Em andamento",R80="Cancelada","Cancelada",(OR(R80&lt;&gt;"",R80&lt;&gt;"Cancelada")),"Concluída")))</f>
        <v>Concluída</v>
      </c>
      <c r="T80" s="11"/>
      <c r="U80" s="14" t="s">
        <v>218</v>
      </c>
      <c r="V80" s="10" t="e">
        <f>_xlfn.XLOOKUP(O80,#REF!,#REF!)</f>
        <v>#REF!</v>
      </c>
      <c r="W80" s="10" t="e">
        <f>_xlfn.XLOOKUP(R80,#REF!,#REF!)</f>
        <v>#REF!</v>
      </c>
    </row>
    <row r="81" spans="2:23" ht="32.5" customHeight="1" x14ac:dyDescent="0.35">
      <c r="B81" s="3">
        <v>78</v>
      </c>
      <c r="C81" s="3" t="s">
        <v>161</v>
      </c>
      <c r="D81" s="12"/>
      <c r="E81" s="12"/>
      <c r="F81" s="5" t="s">
        <v>197</v>
      </c>
      <c r="G81" s="5" t="s">
        <v>219</v>
      </c>
      <c r="H81" s="5" t="s">
        <v>45</v>
      </c>
      <c r="I81" s="5" t="s">
        <v>199</v>
      </c>
      <c r="J81" s="5"/>
      <c r="K81" s="6">
        <v>6451</v>
      </c>
      <c r="L81" s="3"/>
      <c r="M81" s="3" t="s">
        <v>182</v>
      </c>
      <c r="N81" s="7">
        <v>45316</v>
      </c>
      <c r="O81" s="7">
        <v>45351</v>
      </c>
      <c r="P81" s="7"/>
      <c r="Q81" s="7"/>
      <c r="R81" s="7">
        <v>45336</v>
      </c>
      <c r="S81" s="9" t="str" cm="1">
        <f t="array" aca="1" ref="S81" ca="1">IF(O81="","Sem prazo",(_xlfn.IFS((AND(R81="",O81&lt;=$M$1)),"Atrasada",AND(OR(R81="",R81&gt;=$M$1),O81&gt;$M$1),"Em andamento",R81="Cancelada","Cancelada",(OR(R81&lt;&gt;"",R81&lt;&gt;"Cancelada")),"Concluída")))</f>
        <v>Concluída</v>
      </c>
      <c r="T81" s="11"/>
      <c r="U81" s="14"/>
      <c r="V81" s="10" t="e">
        <f>_xlfn.XLOOKUP(O81,#REF!,#REF!)</f>
        <v>#REF!</v>
      </c>
      <c r="W81" s="10" t="e">
        <f>_xlfn.XLOOKUP(R81,#REF!,#REF!)</f>
        <v>#REF!</v>
      </c>
    </row>
    <row r="82" spans="2:23" ht="32.5" customHeight="1" x14ac:dyDescent="0.35">
      <c r="B82" s="3">
        <v>79</v>
      </c>
      <c r="C82" s="3" t="s">
        <v>161</v>
      </c>
      <c r="D82" s="12"/>
      <c r="E82" s="12"/>
      <c r="F82" s="5" t="s">
        <v>185</v>
      </c>
      <c r="G82" s="5" t="s">
        <v>220</v>
      </c>
      <c r="H82" s="5" t="s">
        <v>45</v>
      </c>
      <c r="I82" s="5" t="s">
        <v>181</v>
      </c>
      <c r="J82" s="5"/>
      <c r="K82" s="6">
        <v>6451</v>
      </c>
      <c r="L82" s="3"/>
      <c r="M82" s="3" t="s">
        <v>182</v>
      </c>
      <c r="N82" s="7">
        <v>45316</v>
      </c>
      <c r="O82" s="7">
        <v>45351</v>
      </c>
      <c r="P82" s="7"/>
      <c r="Q82" s="7"/>
      <c r="R82" s="7">
        <v>45336</v>
      </c>
      <c r="S82" s="9" t="str" cm="1">
        <f t="array" aca="1" ref="S82" ca="1">IF(O82="","Sem prazo",(_xlfn.IFS((AND(R82="",O82&lt;=$M$1)),"Atrasada",AND(OR(R82="",R82&gt;=$M$1),O82&gt;$M$1),"Em andamento",R82="Cancelada","Cancelada",(OR(R82&lt;&gt;"",R82&lt;&gt;"Cancelada")),"Concluída")))</f>
        <v>Concluída</v>
      </c>
      <c r="T82" s="11"/>
      <c r="U82" s="14"/>
      <c r="V82" s="10" t="e">
        <f>_xlfn.XLOOKUP(O82,#REF!,#REF!)</f>
        <v>#REF!</v>
      </c>
      <c r="W82" s="10" t="e">
        <f>_xlfn.XLOOKUP(R82,#REF!,#REF!)</f>
        <v>#REF!</v>
      </c>
    </row>
    <row r="83" spans="2:23" ht="32.5" customHeight="1" x14ac:dyDescent="0.35">
      <c r="B83" s="3">
        <v>80</v>
      </c>
      <c r="C83" s="3" t="s">
        <v>161</v>
      </c>
      <c r="D83" s="12" t="s">
        <v>214</v>
      </c>
      <c r="E83" s="12" t="s">
        <v>221</v>
      </c>
      <c r="F83" s="5" t="s">
        <v>202</v>
      </c>
      <c r="G83" s="5" t="s">
        <v>222</v>
      </c>
      <c r="H83" s="5" t="s">
        <v>45</v>
      </c>
      <c r="I83" s="5" t="s">
        <v>223</v>
      </c>
      <c r="J83" s="5"/>
      <c r="K83" s="6">
        <v>6561</v>
      </c>
      <c r="L83" s="3"/>
      <c r="M83" s="3" t="s">
        <v>97</v>
      </c>
      <c r="N83" s="7">
        <v>45316</v>
      </c>
      <c r="O83" s="7">
        <v>45351</v>
      </c>
      <c r="P83" s="7"/>
      <c r="Q83" s="7"/>
      <c r="R83" s="7">
        <v>45336</v>
      </c>
      <c r="S83" s="9" t="str" cm="1">
        <f t="array" aca="1" ref="S83" ca="1">IF(O83="","Sem prazo",(_xlfn.IFS((AND(R83="",O83&lt;=$M$1)),"Atrasada",AND(OR(R83="",R83&gt;=$M$1),O83&gt;$M$1),"Em andamento",R83="Cancelada","Cancelada",(OR(R83&lt;&gt;"",R83&lt;&gt;"Cancelada")),"Concluída")))</f>
        <v>Concluída</v>
      </c>
      <c r="T83" s="11"/>
      <c r="U83" s="14"/>
      <c r="V83" s="10" t="e">
        <f>_xlfn.XLOOKUP(O83,#REF!,#REF!)</f>
        <v>#REF!</v>
      </c>
      <c r="W83" s="10" t="e">
        <f>_xlfn.XLOOKUP(R83,#REF!,#REF!)</f>
        <v>#REF!</v>
      </c>
    </row>
    <row r="84" spans="2:23" ht="32.5" customHeight="1" x14ac:dyDescent="0.35">
      <c r="B84" s="3">
        <v>81</v>
      </c>
      <c r="C84" s="3" t="s">
        <v>161</v>
      </c>
      <c r="D84" s="12" t="s">
        <v>224</v>
      </c>
      <c r="E84" s="12" t="s">
        <v>84</v>
      </c>
      <c r="F84" s="5" t="s">
        <v>185</v>
      </c>
      <c r="G84" s="5" t="s">
        <v>225</v>
      </c>
      <c r="H84" s="5" t="s">
        <v>45</v>
      </c>
      <c r="I84" s="5" t="s">
        <v>181</v>
      </c>
      <c r="J84" s="5"/>
      <c r="K84" s="6">
        <v>6564</v>
      </c>
      <c r="L84" s="3"/>
      <c r="M84" s="3" t="s">
        <v>182</v>
      </c>
      <c r="N84" s="7">
        <v>45316</v>
      </c>
      <c r="O84" s="7">
        <v>45351</v>
      </c>
      <c r="P84" s="7"/>
      <c r="Q84" s="7"/>
      <c r="R84" s="7">
        <v>45336</v>
      </c>
      <c r="S84" s="9" t="str" cm="1">
        <f t="array" aca="1" ref="S84" ca="1">IF(O84="","Sem prazo",(_xlfn.IFS((AND(R84="",O84&lt;=$M$1)),"Atrasada",AND(OR(R84="",R84&gt;=$M$1),O84&gt;$M$1),"Em andamento",R84="Cancelada","Cancelada",(OR(R84&lt;&gt;"",R84&lt;&gt;"Cancelada")),"Concluída")))</f>
        <v>Concluída</v>
      </c>
      <c r="T84" s="11"/>
      <c r="U84" s="14"/>
      <c r="V84" s="10" t="e">
        <f>_xlfn.XLOOKUP(O84,#REF!,#REF!)</f>
        <v>#REF!</v>
      </c>
      <c r="W84" s="10" t="e">
        <f>_xlfn.XLOOKUP(R84,#REF!,#REF!)</f>
        <v>#REF!</v>
      </c>
    </row>
    <row r="85" spans="2:23" ht="32.5" customHeight="1" x14ac:dyDescent="0.35">
      <c r="B85" s="3">
        <v>82</v>
      </c>
      <c r="C85" s="3" t="s">
        <v>161</v>
      </c>
      <c r="D85" s="12" t="s">
        <v>226</v>
      </c>
      <c r="E85" s="12" t="s">
        <v>227</v>
      </c>
      <c r="F85" s="5" t="s">
        <v>228</v>
      </c>
      <c r="G85" s="5" t="s">
        <v>229</v>
      </c>
      <c r="H85" s="5" t="s">
        <v>45</v>
      </c>
      <c r="I85" s="5" t="s">
        <v>230</v>
      </c>
      <c r="J85" s="5"/>
      <c r="K85" s="6"/>
      <c r="L85" s="3"/>
      <c r="M85" s="3" t="s">
        <v>182</v>
      </c>
      <c r="N85" s="7">
        <v>45316</v>
      </c>
      <c r="O85" s="7">
        <v>45351</v>
      </c>
      <c r="P85" s="7"/>
      <c r="Q85" s="7"/>
      <c r="R85" s="7">
        <v>45336</v>
      </c>
      <c r="S85" s="9" t="str" cm="1">
        <f t="array" aca="1" ref="S85" ca="1">IF(O85="","Sem prazo",(_xlfn.IFS((AND(R85="",O85&lt;=$M$1)),"Atrasada",AND(OR(R85="",R85&gt;=$M$1),O85&gt;$M$1),"Em andamento",R85="Cancelada","Cancelada",(OR(R85&lt;&gt;"",R85&lt;&gt;"Cancelada")),"Concluída")))</f>
        <v>Concluída</v>
      </c>
      <c r="T85" s="11"/>
      <c r="U85" s="14"/>
      <c r="V85" s="10" t="e">
        <f>_xlfn.XLOOKUP(O85,#REF!,#REF!)</f>
        <v>#REF!</v>
      </c>
      <c r="W85" s="10" t="e">
        <f>_xlfn.XLOOKUP(R85,#REF!,#REF!)</f>
        <v>#REF!</v>
      </c>
    </row>
    <row r="86" spans="2:23" ht="32.5" customHeight="1" x14ac:dyDescent="0.35">
      <c r="B86" s="3">
        <v>83</v>
      </c>
      <c r="C86" s="3" t="s">
        <v>161</v>
      </c>
      <c r="D86" s="12" t="s">
        <v>231</v>
      </c>
      <c r="E86" s="12" t="s">
        <v>232</v>
      </c>
      <c r="F86" s="5" t="s">
        <v>185</v>
      </c>
      <c r="G86" s="5" t="s">
        <v>233</v>
      </c>
      <c r="H86" s="5" t="s">
        <v>45</v>
      </c>
      <c r="I86" s="5" t="s">
        <v>234</v>
      </c>
      <c r="J86" s="5"/>
      <c r="K86" s="6"/>
      <c r="L86" s="3"/>
      <c r="M86" s="3" t="s">
        <v>182</v>
      </c>
      <c r="N86" s="7">
        <v>45316</v>
      </c>
      <c r="O86" s="35">
        <v>45351</v>
      </c>
      <c r="P86" s="35">
        <v>45456</v>
      </c>
      <c r="Q86" s="35"/>
      <c r="R86" s="7">
        <v>45469</v>
      </c>
      <c r="S86" s="9" t="str" cm="1">
        <f t="array" aca="1" ref="S86" ca="1">IF(O86="","Sem prazo",(_xlfn.IFS((AND(R86="",O86&lt;=$M$1)),"Atrasada",AND(OR(R86="",R86&gt;=$M$1),O86&gt;$M$1),"Em andamento",R86="Cancelada","Cancelada",(OR(R86&lt;&gt;"",R86&lt;&gt;"Cancelada")),"Concluída")))</f>
        <v>Concluída</v>
      </c>
      <c r="T86" s="11"/>
      <c r="U86" s="14" t="s">
        <v>235</v>
      </c>
      <c r="V86" s="10" t="e">
        <f>_xlfn.XLOOKUP(O86,#REF!,#REF!)</f>
        <v>#REF!</v>
      </c>
      <c r="W86" s="10" t="e">
        <f>_xlfn.XLOOKUP(R86,#REF!,#REF!)</f>
        <v>#REF!</v>
      </c>
    </row>
    <row r="87" spans="2:23" ht="45.65" customHeight="1" x14ac:dyDescent="0.35">
      <c r="B87" s="3">
        <v>84</v>
      </c>
      <c r="C87" s="3" t="s">
        <v>161</v>
      </c>
      <c r="D87" s="12" t="s">
        <v>226</v>
      </c>
      <c r="E87" s="12" t="s">
        <v>236</v>
      </c>
      <c r="F87" s="5" t="s">
        <v>197</v>
      </c>
      <c r="G87" s="5" t="s">
        <v>237</v>
      </c>
      <c r="H87" s="5" t="s">
        <v>45</v>
      </c>
      <c r="I87" s="5" t="s">
        <v>234</v>
      </c>
      <c r="J87" s="5"/>
      <c r="K87" s="6"/>
      <c r="L87" s="3"/>
      <c r="M87" s="3" t="s">
        <v>182</v>
      </c>
      <c r="N87" s="7">
        <v>45316</v>
      </c>
      <c r="O87" s="35">
        <v>45351</v>
      </c>
      <c r="P87" s="7"/>
      <c r="Q87" s="7"/>
      <c r="R87" s="8">
        <v>45381</v>
      </c>
      <c r="S87" s="9" t="str" cm="1">
        <f t="array" aca="1" ref="S87" ca="1">IF(O87="","Sem prazo",(_xlfn.IFS((AND(R87="",O87&lt;=$M$1)),"Atrasada",AND(OR(R87="",R87&gt;=$M$1),O87&gt;$M$1),"Em andamento",R87="Cancelada","Cancelada",(OR(R87&lt;&gt;"",R87&lt;&gt;"Cancelada")),"Concluída")))</f>
        <v>Concluída</v>
      </c>
      <c r="T87" s="11"/>
      <c r="U87" s="14" t="s">
        <v>238</v>
      </c>
      <c r="V87" s="10" t="e">
        <f>_xlfn.XLOOKUP(O87,#REF!,#REF!)</f>
        <v>#REF!</v>
      </c>
      <c r="W87" s="10" t="e">
        <f>_xlfn.XLOOKUP(R87,#REF!,#REF!)</f>
        <v>#REF!</v>
      </c>
    </row>
    <row r="88" spans="2:23" ht="46.15" customHeight="1" x14ac:dyDescent="0.35">
      <c r="B88" s="3">
        <v>85</v>
      </c>
      <c r="C88" s="3" t="s">
        <v>161</v>
      </c>
      <c r="D88" s="12" t="s">
        <v>226</v>
      </c>
      <c r="E88" s="12" t="s">
        <v>239</v>
      </c>
      <c r="F88" s="15" t="s">
        <v>197</v>
      </c>
      <c r="G88" s="5" t="s">
        <v>237</v>
      </c>
      <c r="H88" s="5" t="s">
        <v>45</v>
      </c>
      <c r="I88" s="5" t="s">
        <v>234</v>
      </c>
      <c r="J88" s="5"/>
      <c r="K88" s="6"/>
      <c r="L88" s="3"/>
      <c r="M88" s="3" t="s">
        <v>182</v>
      </c>
      <c r="N88" s="7">
        <v>45316</v>
      </c>
      <c r="O88" s="35">
        <v>45351</v>
      </c>
      <c r="P88" s="35">
        <v>45456</v>
      </c>
      <c r="Q88" s="35"/>
      <c r="R88" s="7">
        <v>45469</v>
      </c>
      <c r="S88" s="9" t="str" cm="1">
        <f t="array" aca="1" ref="S88" ca="1">IF(O88="","Sem prazo",(_xlfn.IFS((AND(R88="",O88&lt;=$M$1)),"Atrasada",AND(OR(R88="",R88&gt;=$M$1),O88&gt;$M$1),"Em andamento",R88="Cancelada","Cancelada",(OR(R88&lt;&gt;"",R88&lt;&gt;"Cancelada")),"Concluída")))</f>
        <v>Concluída</v>
      </c>
      <c r="T88" s="11"/>
      <c r="U88" s="14" t="s">
        <v>235</v>
      </c>
      <c r="V88" s="10" t="e">
        <f>_xlfn.XLOOKUP(O88,#REF!,#REF!)</f>
        <v>#REF!</v>
      </c>
      <c r="W88" s="10" t="e">
        <f>_xlfn.XLOOKUP(R88,#REF!,#REF!)</f>
        <v>#REF!</v>
      </c>
    </row>
    <row r="89" spans="2:23" ht="32.5" customHeight="1" x14ac:dyDescent="0.35">
      <c r="B89" s="3">
        <v>86</v>
      </c>
      <c r="C89" s="3" t="s">
        <v>161</v>
      </c>
      <c r="D89" s="12" t="s">
        <v>226</v>
      </c>
      <c r="E89" s="12" t="s">
        <v>240</v>
      </c>
      <c r="F89" s="5" t="s">
        <v>209</v>
      </c>
      <c r="G89" s="5" t="s">
        <v>241</v>
      </c>
      <c r="H89" s="5" t="s">
        <v>45</v>
      </c>
      <c r="I89" s="5" t="s">
        <v>242</v>
      </c>
      <c r="J89" s="5"/>
      <c r="K89" s="6"/>
      <c r="L89" s="3"/>
      <c r="M89" s="3" t="s">
        <v>182</v>
      </c>
      <c r="N89" s="7">
        <v>45316</v>
      </c>
      <c r="O89" s="35">
        <v>45351</v>
      </c>
      <c r="P89" s="7"/>
      <c r="Q89" s="7"/>
      <c r="R89" s="8">
        <v>45381</v>
      </c>
      <c r="S89" s="9" t="str" cm="1">
        <f t="array" aca="1" ref="S89" ca="1">IF(O89="","Sem prazo",(_xlfn.IFS((AND(R89="",O89&lt;=$M$1)),"Atrasada",AND(OR(R89="",R89&gt;=$M$1),O89&gt;$M$1),"Em andamento",R89="Cancelada","Cancelada",(OR(R89&lt;&gt;"",R89&lt;&gt;"Cancelada")),"Concluída")))</f>
        <v>Concluída</v>
      </c>
      <c r="T89" s="11"/>
      <c r="U89" s="14" t="s">
        <v>238</v>
      </c>
      <c r="V89" s="10" t="e">
        <f>_xlfn.XLOOKUP(O89,#REF!,#REF!)</f>
        <v>#REF!</v>
      </c>
      <c r="W89" s="10" t="e">
        <f>_xlfn.XLOOKUP(R89,#REF!,#REF!)</f>
        <v>#REF!</v>
      </c>
    </row>
    <row r="90" spans="2:23" ht="32.5" customHeight="1" x14ac:dyDescent="0.35">
      <c r="B90" s="3">
        <v>87</v>
      </c>
      <c r="C90" s="3" t="s">
        <v>161</v>
      </c>
      <c r="D90" s="12" t="s">
        <v>226</v>
      </c>
      <c r="E90" s="12" t="s">
        <v>243</v>
      </c>
      <c r="F90" s="5"/>
      <c r="G90" s="5" t="s">
        <v>244</v>
      </c>
      <c r="H90" s="5" t="s">
        <v>45</v>
      </c>
      <c r="I90" s="5" t="s">
        <v>245</v>
      </c>
      <c r="J90" s="5"/>
      <c r="K90" s="6"/>
      <c r="L90" s="3"/>
      <c r="M90" s="3" t="s">
        <v>182</v>
      </c>
      <c r="N90" s="7">
        <v>45316</v>
      </c>
      <c r="O90" s="35">
        <v>45351</v>
      </c>
      <c r="P90" s="7"/>
      <c r="Q90" s="7"/>
      <c r="R90" s="7">
        <v>45381</v>
      </c>
      <c r="S90" s="9" t="str" cm="1">
        <f t="array" aca="1" ref="S90" ca="1">IF(O90="","Sem prazo",(_xlfn.IFS((AND(R90="",O90&lt;=$M$1)),"Atrasada",AND(OR(R90="",R90&gt;=$M$1),O90&gt;$M$1),"Em andamento",R90="Cancelada","Cancelada",(OR(R90&lt;&gt;"",R90&lt;&gt;"Cancelada")),"Concluída")))</f>
        <v>Concluída</v>
      </c>
      <c r="T90" s="11"/>
      <c r="U90" s="14" t="s">
        <v>238</v>
      </c>
      <c r="V90" s="10" t="e">
        <f>_xlfn.XLOOKUP(O90,#REF!,#REF!)</f>
        <v>#REF!</v>
      </c>
      <c r="W90" s="10" t="e">
        <f>_xlfn.XLOOKUP(R90,#REF!,#REF!)</f>
        <v>#REF!</v>
      </c>
    </row>
    <row r="91" spans="2:23" ht="32.5" customHeight="1" x14ac:dyDescent="0.35">
      <c r="B91" s="3">
        <v>88</v>
      </c>
      <c r="C91" s="3" t="s">
        <v>161</v>
      </c>
      <c r="D91" s="12" t="s">
        <v>226</v>
      </c>
      <c r="E91" s="12" t="s">
        <v>243</v>
      </c>
      <c r="F91" s="5" t="s">
        <v>179</v>
      </c>
      <c r="G91" s="5" t="s">
        <v>246</v>
      </c>
      <c r="H91" s="5" t="s">
        <v>45</v>
      </c>
      <c r="I91" s="5" t="s">
        <v>181</v>
      </c>
      <c r="J91" s="5"/>
      <c r="K91" s="6"/>
      <c r="L91" s="3"/>
      <c r="M91" s="3" t="s">
        <v>182</v>
      </c>
      <c r="N91" s="7">
        <v>45316</v>
      </c>
      <c r="O91" s="35">
        <v>45351</v>
      </c>
      <c r="P91" s="7"/>
      <c r="Q91" s="7"/>
      <c r="R91" s="7">
        <v>45371</v>
      </c>
      <c r="S91" s="9" t="str" cm="1">
        <f t="array" aca="1" ref="S91" ca="1">IF(O91="","Sem prazo",(_xlfn.IFS((AND(R91="",O91&lt;=$M$1)),"Atrasada",AND(OR(R91="",R91&gt;=$M$1),O91&gt;$M$1),"Em andamento",R91="Cancelada","Cancelada",(OR(R91&lt;&gt;"",R91&lt;&gt;"Cancelada")),"Concluída")))</f>
        <v>Concluída</v>
      </c>
      <c r="T91" s="11"/>
      <c r="U91" s="14"/>
      <c r="V91" s="10" t="e">
        <f>_xlfn.XLOOKUP(O91,#REF!,#REF!)</f>
        <v>#REF!</v>
      </c>
      <c r="W91" s="10" t="e">
        <f>_xlfn.XLOOKUP(R91,#REF!,#REF!)</f>
        <v>#REF!</v>
      </c>
    </row>
    <row r="92" spans="2:23" ht="32.5" customHeight="1" x14ac:dyDescent="0.35">
      <c r="B92" s="3">
        <v>89</v>
      </c>
      <c r="C92" s="3" t="s">
        <v>161</v>
      </c>
      <c r="D92" s="12" t="s">
        <v>226</v>
      </c>
      <c r="E92" s="12" t="s">
        <v>243</v>
      </c>
      <c r="F92" s="5" t="s">
        <v>179</v>
      </c>
      <c r="G92" s="5" t="s">
        <v>247</v>
      </c>
      <c r="H92" s="5" t="s">
        <v>45</v>
      </c>
      <c r="I92" s="5" t="s">
        <v>181</v>
      </c>
      <c r="J92" s="5"/>
      <c r="K92" s="6"/>
      <c r="L92" s="3"/>
      <c r="M92" s="3" t="s">
        <v>182</v>
      </c>
      <c r="N92" s="7">
        <v>45316</v>
      </c>
      <c r="O92" s="35">
        <v>45351</v>
      </c>
      <c r="P92" s="7"/>
      <c r="Q92" s="7"/>
      <c r="R92" s="7">
        <v>45371</v>
      </c>
      <c r="S92" s="9" t="str" cm="1">
        <f t="array" aca="1" ref="S92" ca="1">IF(O92="","Sem prazo",(_xlfn.IFS((AND(R92="",O92&lt;=$M$1)),"Atrasada",AND(OR(R92="",R92&gt;=$M$1),O92&gt;$M$1),"Em andamento",R92="Cancelada","Cancelada",(OR(R92&lt;&gt;"",R92&lt;&gt;"Cancelada")),"Concluída")))</f>
        <v>Concluída</v>
      </c>
      <c r="T92" s="11"/>
      <c r="U92" s="14"/>
      <c r="V92" s="10" t="e">
        <f>_xlfn.XLOOKUP(O92,#REF!,#REF!)</f>
        <v>#REF!</v>
      </c>
      <c r="W92" s="10" t="e">
        <f>_xlfn.XLOOKUP(R92,#REF!,#REF!)</f>
        <v>#REF!</v>
      </c>
    </row>
    <row r="93" spans="2:23" ht="32.5" customHeight="1" x14ac:dyDescent="0.35">
      <c r="B93" s="3">
        <v>90</v>
      </c>
      <c r="C93" s="3" t="s">
        <v>161</v>
      </c>
      <c r="D93" s="12"/>
      <c r="E93" s="12" t="s">
        <v>248</v>
      </c>
      <c r="F93" s="5" t="s">
        <v>202</v>
      </c>
      <c r="G93" s="5" t="s">
        <v>249</v>
      </c>
      <c r="H93" s="5" t="s">
        <v>45</v>
      </c>
      <c r="I93" s="5" t="s">
        <v>250</v>
      </c>
      <c r="J93" s="5"/>
      <c r="K93" s="6"/>
      <c r="L93" s="3"/>
      <c r="M93" s="3" t="s">
        <v>182</v>
      </c>
      <c r="N93" s="7">
        <v>45316</v>
      </c>
      <c r="O93" s="35">
        <v>45351</v>
      </c>
      <c r="P93" s="35">
        <v>45451</v>
      </c>
      <c r="Q93" s="35"/>
      <c r="R93" s="8">
        <v>45459</v>
      </c>
      <c r="S93" s="9" t="str" cm="1">
        <f t="array" aca="1" ref="S93" ca="1">IF(O93="","Sem prazo",(_xlfn.IFS((AND(R93="",O93&lt;=$M$1)),"Atrasada",AND(OR(R93="",R93&gt;=$M$1),O93&gt;$M$1),"Em andamento",R93="Cancelada","Cancelada",(OR(R93&lt;&gt;"",R93&lt;&gt;"Cancelada")),"Concluída")))</f>
        <v>Concluída</v>
      </c>
      <c r="T93" s="11"/>
      <c r="U93" s="14"/>
      <c r="V93" s="10" t="e">
        <f>_xlfn.XLOOKUP(O93,#REF!,#REF!)</f>
        <v>#REF!</v>
      </c>
      <c r="W93" s="10" t="e">
        <f>_xlfn.XLOOKUP(R93,#REF!,#REF!)</f>
        <v>#REF!</v>
      </c>
    </row>
    <row r="94" spans="2:23" ht="32.5" customHeight="1" x14ac:dyDescent="0.35">
      <c r="B94" s="3">
        <v>91</v>
      </c>
      <c r="C94" s="3" t="s">
        <v>161</v>
      </c>
      <c r="D94" s="12"/>
      <c r="E94" s="12" t="s">
        <v>251</v>
      </c>
      <c r="F94" s="5"/>
      <c r="G94" s="5" t="s">
        <v>252</v>
      </c>
      <c r="H94" s="5" t="s">
        <v>45</v>
      </c>
      <c r="I94" s="5" t="s">
        <v>253</v>
      </c>
      <c r="J94" s="5"/>
      <c r="K94" s="6">
        <v>7083</v>
      </c>
      <c r="L94" s="3"/>
      <c r="M94" s="3" t="s">
        <v>182</v>
      </c>
      <c r="N94" s="7">
        <v>45316</v>
      </c>
      <c r="O94" s="7">
        <v>45351</v>
      </c>
      <c r="P94" s="7"/>
      <c r="Q94" s="7"/>
      <c r="R94" s="7">
        <v>45352</v>
      </c>
      <c r="S94" s="9" t="str" cm="1">
        <f t="array" aca="1" ref="S94" ca="1">IF(O94="","Sem prazo",(_xlfn.IFS((AND(R94="",O94&lt;=$M$1)),"Atrasada",AND(OR(R94="",R94&gt;=$M$1),O94&gt;$M$1),"Em andamento",R94="Cancelada","Cancelada",(OR(R94&lt;&gt;"",R94&lt;&gt;"Cancelada")),"Concluída")))</f>
        <v>Concluída</v>
      </c>
      <c r="T94" s="11"/>
      <c r="U94" s="14"/>
      <c r="V94" s="10" t="e">
        <f>_xlfn.XLOOKUP(O94,#REF!,#REF!)</f>
        <v>#REF!</v>
      </c>
      <c r="W94" s="10" t="e">
        <f>_xlfn.XLOOKUP(R94,#REF!,#REF!)</f>
        <v>#REF!</v>
      </c>
    </row>
    <row r="95" spans="2:23" ht="32.5" customHeight="1" x14ac:dyDescent="0.35">
      <c r="B95" s="3">
        <v>92</v>
      </c>
      <c r="C95" s="3" t="s">
        <v>161</v>
      </c>
      <c r="D95" s="12"/>
      <c r="E95" s="12" t="s">
        <v>254</v>
      </c>
      <c r="F95" s="5"/>
      <c r="G95" s="5" t="s">
        <v>255</v>
      </c>
      <c r="H95" s="5" t="s">
        <v>45</v>
      </c>
      <c r="I95" s="5" t="s">
        <v>256</v>
      </c>
      <c r="J95" s="5"/>
      <c r="K95" s="6">
        <v>6545</v>
      </c>
      <c r="L95" s="3"/>
      <c r="M95" s="3" t="s">
        <v>97</v>
      </c>
      <c r="N95" s="7">
        <v>45316</v>
      </c>
      <c r="O95" s="7">
        <v>45351</v>
      </c>
      <c r="P95" s="7"/>
      <c r="Q95" s="7"/>
      <c r="R95" s="7">
        <v>45336</v>
      </c>
      <c r="S95" s="9" t="str" cm="1">
        <f t="array" aca="1" ref="S95" ca="1">IF(O95="","Sem prazo",(_xlfn.IFS((AND(R95="",O95&lt;=$M$1)),"Atrasada",AND(OR(R95="",R95&gt;=$M$1),O95&gt;$M$1),"Em andamento",R95="Cancelada","Cancelada",(OR(R95&lt;&gt;"",R95&lt;&gt;"Cancelada")),"Concluída")))</f>
        <v>Concluída</v>
      </c>
      <c r="T95" s="11"/>
      <c r="U95" s="14"/>
      <c r="V95" s="10" t="e">
        <f>_xlfn.XLOOKUP(O95,#REF!,#REF!)</f>
        <v>#REF!</v>
      </c>
      <c r="W95" s="10" t="e">
        <f>_xlfn.XLOOKUP(R95,#REF!,#REF!)</f>
        <v>#REF!</v>
      </c>
    </row>
    <row r="96" spans="2:23" ht="32.5" customHeight="1" x14ac:dyDescent="0.35">
      <c r="B96" s="3">
        <v>93</v>
      </c>
      <c r="C96" s="3" t="s">
        <v>161</v>
      </c>
      <c r="D96" s="12"/>
      <c r="E96" s="12" t="s">
        <v>257</v>
      </c>
      <c r="F96" s="5" t="s">
        <v>258</v>
      </c>
      <c r="G96" s="5" t="s">
        <v>259</v>
      </c>
      <c r="H96" s="5" t="s">
        <v>45</v>
      </c>
      <c r="I96" s="5" t="s">
        <v>260</v>
      </c>
      <c r="J96" s="5"/>
      <c r="K96" s="6">
        <v>6547</v>
      </c>
      <c r="L96" s="3"/>
      <c r="M96" s="3" t="s">
        <v>182</v>
      </c>
      <c r="N96" s="7">
        <v>45316</v>
      </c>
      <c r="O96" s="7">
        <v>45351</v>
      </c>
      <c r="P96" s="7"/>
      <c r="Q96" s="7"/>
      <c r="R96" s="7">
        <v>45336</v>
      </c>
      <c r="S96" s="9" t="str" cm="1">
        <f t="array" aca="1" ref="S96" ca="1">IF(O96="","Sem prazo",(_xlfn.IFS((AND(R96="",O96&lt;=$M$1)),"Atrasada",AND(OR(R96="",R96&gt;=$M$1),O96&gt;$M$1),"Em andamento",R96="Cancelada","Cancelada",(OR(R96&lt;&gt;"",R96&lt;&gt;"Cancelada")),"Concluída")))</f>
        <v>Concluída</v>
      </c>
      <c r="T96" s="11"/>
      <c r="U96" s="14"/>
      <c r="V96" s="10" t="e">
        <f>_xlfn.XLOOKUP(O96,#REF!,#REF!)</f>
        <v>#REF!</v>
      </c>
      <c r="W96" s="10" t="e">
        <f>_xlfn.XLOOKUP(R96,#REF!,#REF!)</f>
        <v>#REF!</v>
      </c>
    </row>
    <row r="97" spans="2:23" ht="32.5" customHeight="1" x14ac:dyDescent="0.35">
      <c r="B97" s="3">
        <v>94</v>
      </c>
      <c r="C97" s="3" t="s">
        <v>168</v>
      </c>
      <c r="D97" s="4" t="s">
        <v>90</v>
      </c>
      <c r="E97" s="4" t="s">
        <v>91</v>
      </c>
      <c r="F97" s="5" t="s">
        <v>175</v>
      </c>
      <c r="G97" s="5" t="s">
        <v>176</v>
      </c>
      <c r="H97" s="5" t="s">
        <v>45</v>
      </c>
      <c r="I97" s="5" t="s">
        <v>261</v>
      </c>
      <c r="J97" s="5"/>
      <c r="K97" s="6"/>
      <c r="L97" s="3"/>
      <c r="M97" s="3" t="s">
        <v>173</v>
      </c>
      <c r="N97" s="7">
        <v>45316</v>
      </c>
      <c r="O97" s="7">
        <v>45317</v>
      </c>
      <c r="P97" s="7"/>
      <c r="Q97" s="7"/>
      <c r="R97" s="7">
        <v>45317</v>
      </c>
      <c r="S97" s="9" t="str" cm="1">
        <f t="array" aca="1" ref="S97" ca="1">IF(O97="","Sem prazo",(_xlfn.IFS((AND(R97="",O97&lt;=$M$1)),"Atrasada",AND(OR(R97="",R97&gt;=$M$1),O97&gt;$M$1),"Em andamento",R97="Cancelada","Cancelada",(OR(R97&lt;&gt;"",R97&lt;&gt;"Cancelada")),"Concluída")))</f>
        <v>Concluída</v>
      </c>
      <c r="T97" s="11"/>
      <c r="U97" s="14"/>
      <c r="V97" s="10" t="e">
        <f>_xlfn.XLOOKUP(O97,#REF!,#REF!)</f>
        <v>#REF!</v>
      </c>
      <c r="W97" s="10" t="e">
        <f>_xlfn.XLOOKUP(R97,#REF!,#REF!)</f>
        <v>#REF!</v>
      </c>
    </row>
    <row r="98" spans="2:23" ht="32.5" customHeight="1" x14ac:dyDescent="0.35">
      <c r="B98" s="3">
        <v>95</v>
      </c>
      <c r="C98" s="3" t="s">
        <v>168</v>
      </c>
      <c r="D98" s="4" t="s">
        <v>90</v>
      </c>
      <c r="E98" s="4" t="s">
        <v>91</v>
      </c>
      <c r="F98" s="5" t="s">
        <v>175</v>
      </c>
      <c r="G98" s="5" t="s">
        <v>176</v>
      </c>
      <c r="H98" s="5" t="s">
        <v>262</v>
      </c>
      <c r="I98" s="5" t="s">
        <v>263</v>
      </c>
      <c r="J98" s="5"/>
      <c r="K98" s="6"/>
      <c r="L98" s="3"/>
      <c r="M98" s="3" t="s">
        <v>173</v>
      </c>
      <c r="N98" s="7">
        <v>45317</v>
      </c>
      <c r="O98" s="7">
        <v>45319</v>
      </c>
      <c r="P98" s="7"/>
      <c r="Q98" s="7"/>
      <c r="R98" s="7">
        <v>45319</v>
      </c>
      <c r="S98" s="9" t="str" cm="1">
        <f t="array" aca="1" ref="S98" ca="1">IF(O98="","Sem prazo",(_xlfn.IFS((AND(R98="",O98&lt;=$M$1)),"Atrasada",AND(OR(R98="",R98&gt;=$M$1),O98&gt;$M$1),"Em andamento",R98="Cancelada","Cancelada",(OR(R98&lt;&gt;"",R98&lt;&gt;"Cancelada")),"Concluída")))</f>
        <v>Concluída</v>
      </c>
      <c r="T98" s="11"/>
      <c r="U98" s="14"/>
      <c r="V98" s="10" t="e">
        <f>_xlfn.XLOOKUP(O98,#REF!,#REF!)</f>
        <v>#REF!</v>
      </c>
      <c r="W98" s="10" t="e">
        <f>_xlfn.XLOOKUP(R98,#REF!,#REF!)</f>
        <v>#REF!</v>
      </c>
    </row>
    <row r="99" spans="2:23" ht="32.5" customHeight="1" x14ac:dyDescent="0.35">
      <c r="B99" s="3">
        <v>96</v>
      </c>
      <c r="C99" s="3" t="s">
        <v>168</v>
      </c>
      <c r="D99" s="4" t="s">
        <v>90</v>
      </c>
      <c r="E99" s="4" t="s">
        <v>91</v>
      </c>
      <c r="F99" s="5" t="s">
        <v>175</v>
      </c>
      <c r="G99" s="5" t="s">
        <v>176</v>
      </c>
      <c r="H99" s="5" t="s">
        <v>45</v>
      </c>
      <c r="I99" s="5" t="s">
        <v>264</v>
      </c>
      <c r="J99" s="5"/>
      <c r="K99" s="6"/>
      <c r="L99" s="3"/>
      <c r="M99" s="3" t="s">
        <v>173</v>
      </c>
      <c r="N99" s="7">
        <v>45317</v>
      </c>
      <c r="O99" s="7">
        <v>45324</v>
      </c>
      <c r="P99" s="7">
        <v>45324</v>
      </c>
      <c r="Q99" s="7"/>
      <c r="R99" s="7">
        <v>45324</v>
      </c>
      <c r="S99" s="9" t="str" cm="1">
        <f t="array" aca="1" ref="S99" ca="1">IF(O99="","Sem prazo",(_xlfn.IFS((AND(R99="",O99&lt;=$M$1)),"Atrasada",AND(OR(R99="",R99&gt;=$M$1),O99&gt;$M$1),"Em andamento",R99="Cancelada","Cancelada",(OR(R99&lt;&gt;"",R99&lt;&gt;"Cancelada")),"Concluída")))</f>
        <v>Concluída</v>
      </c>
      <c r="T99" s="11"/>
      <c r="U99" s="14"/>
      <c r="V99" s="10" t="e">
        <f>_xlfn.XLOOKUP(O99,#REF!,#REF!)</f>
        <v>#REF!</v>
      </c>
      <c r="W99" s="10" t="e">
        <f>_xlfn.XLOOKUP(R99,#REF!,#REF!)</f>
        <v>#REF!</v>
      </c>
    </row>
    <row r="100" spans="2:23" ht="32.5" customHeight="1" x14ac:dyDescent="0.35">
      <c r="B100" s="3">
        <v>97</v>
      </c>
      <c r="C100" s="3" t="s">
        <v>168</v>
      </c>
      <c r="D100" s="12" t="s">
        <v>162</v>
      </c>
      <c r="E100" s="12" t="s">
        <v>40</v>
      </c>
      <c r="F100" s="5" t="s">
        <v>163</v>
      </c>
      <c r="G100" s="5" t="s">
        <v>164</v>
      </c>
      <c r="H100" s="5" t="s">
        <v>45</v>
      </c>
      <c r="I100" s="5" t="s">
        <v>148</v>
      </c>
      <c r="J100" s="5"/>
      <c r="K100" s="6"/>
      <c r="L100" s="3"/>
      <c r="M100" s="3" t="s">
        <v>166</v>
      </c>
      <c r="N100" s="7">
        <v>45317</v>
      </c>
      <c r="O100" s="35">
        <v>45323</v>
      </c>
      <c r="P100" s="7"/>
      <c r="Q100" s="7"/>
      <c r="R100" s="7">
        <v>45331</v>
      </c>
      <c r="S100" s="9" t="str" cm="1">
        <f t="array" aca="1" ref="S100" ca="1">IF(O100="","Sem prazo",(_xlfn.IFS((AND(R100="",O100&lt;=$M$1)),"Atrasada",AND(OR(R100="",R100&gt;=$M$1),O100&gt;$M$1),"Em andamento",R100="Cancelada","Cancelada",(OR(R100&lt;&gt;"",R100&lt;&gt;"Cancelada")),"Concluída")))</f>
        <v>Concluída</v>
      </c>
      <c r="T100" s="11"/>
      <c r="U100" s="14"/>
      <c r="V100" s="10" t="e">
        <f>_xlfn.XLOOKUP(O100,#REF!,#REF!)</f>
        <v>#REF!</v>
      </c>
      <c r="W100" s="10" t="e">
        <f>_xlfn.XLOOKUP(R100,#REF!,#REF!)</f>
        <v>#REF!</v>
      </c>
    </row>
    <row r="101" spans="2:23" ht="32.5" customHeight="1" x14ac:dyDescent="0.35">
      <c r="B101" s="3">
        <v>98</v>
      </c>
      <c r="C101" s="3" t="s">
        <v>168</v>
      </c>
      <c r="D101" s="12" t="s">
        <v>169</v>
      </c>
      <c r="E101" s="12" t="s">
        <v>170</v>
      </c>
      <c r="F101" s="5" t="s">
        <v>163</v>
      </c>
      <c r="G101" s="5" t="s">
        <v>164</v>
      </c>
      <c r="H101" s="5" t="s">
        <v>45</v>
      </c>
      <c r="I101" s="5" t="s">
        <v>148</v>
      </c>
      <c r="J101" s="5"/>
      <c r="K101" s="6"/>
      <c r="L101" s="3"/>
      <c r="M101" s="3" t="s">
        <v>166</v>
      </c>
      <c r="N101" s="7">
        <v>45317</v>
      </c>
      <c r="O101" s="35">
        <v>45323</v>
      </c>
      <c r="P101" s="7"/>
      <c r="Q101" s="7"/>
      <c r="R101" s="7">
        <v>45331</v>
      </c>
      <c r="S101" s="9" t="str" cm="1">
        <f t="array" aca="1" ref="S101" ca="1">IF(O101="","Sem prazo",(_xlfn.IFS((AND(R101="",O101&lt;=$M$1)),"Atrasada",AND(OR(R101="",R101&gt;=$M$1),O101&gt;$M$1),"Em andamento",R101="Cancelada","Cancelada",(OR(R101&lt;&gt;"",R101&lt;&gt;"Cancelada")),"Concluída")))</f>
        <v>Concluída</v>
      </c>
      <c r="T101" s="11"/>
      <c r="U101" s="14"/>
      <c r="V101" s="10" t="e">
        <f>_xlfn.XLOOKUP(O101,#REF!,#REF!)</f>
        <v>#REF!</v>
      </c>
      <c r="W101" s="10" t="e">
        <f>_xlfn.XLOOKUP(R101,#REF!,#REF!)</f>
        <v>#REF!</v>
      </c>
    </row>
    <row r="102" spans="2:23" ht="32.5" customHeight="1" x14ac:dyDescent="0.35">
      <c r="B102" s="3">
        <v>99</v>
      </c>
      <c r="C102" s="3" t="s">
        <v>168</v>
      </c>
      <c r="D102" s="12" t="s">
        <v>265</v>
      </c>
      <c r="E102" s="12" t="s">
        <v>266</v>
      </c>
      <c r="F102" s="5" t="s">
        <v>267</v>
      </c>
      <c r="G102" s="5" t="s">
        <v>268</v>
      </c>
      <c r="H102" s="5" t="s">
        <v>45</v>
      </c>
      <c r="I102" s="5" t="s">
        <v>269</v>
      </c>
      <c r="J102" s="5"/>
      <c r="K102" s="6"/>
      <c r="L102" s="3"/>
      <c r="M102" s="31" t="s">
        <v>270</v>
      </c>
      <c r="N102" s="7">
        <v>45317</v>
      </c>
      <c r="O102" s="7">
        <v>45337</v>
      </c>
      <c r="P102" s="7"/>
      <c r="Q102" s="7"/>
      <c r="R102" s="7">
        <v>45320</v>
      </c>
      <c r="S102" s="9" t="str" cm="1">
        <f t="array" aca="1" ref="S102" ca="1">IF(O102="","Sem prazo",(_xlfn.IFS((AND(R102="",O102&lt;=$M$1)),"Atrasada",AND(OR(R102="",R102&gt;=$M$1),O102&gt;$M$1),"Em andamento",R102="Cancelada","Cancelada",(OR(R102&lt;&gt;"",R102&lt;&gt;"Cancelada")),"Concluída")))</f>
        <v>Concluída</v>
      </c>
      <c r="T102" s="11"/>
      <c r="U102" s="14"/>
      <c r="V102" s="10" t="e">
        <f>_xlfn.XLOOKUP(O102,#REF!,#REF!)</f>
        <v>#REF!</v>
      </c>
      <c r="W102" s="10" t="e">
        <f>_xlfn.XLOOKUP(R102,#REF!,#REF!)</f>
        <v>#REF!</v>
      </c>
    </row>
    <row r="103" spans="2:23" ht="32.5" customHeight="1" x14ac:dyDescent="0.35">
      <c r="B103" s="3">
        <v>100</v>
      </c>
      <c r="C103" s="3" t="s">
        <v>168</v>
      </c>
      <c r="D103" s="12" t="s">
        <v>265</v>
      </c>
      <c r="E103" s="12" t="s">
        <v>266</v>
      </c>
      <c r="F103" s="5" t="s">
        <v>267</v>
      </c>
      <c r="G103" s="5" t="s">
        <v>268</v>
      </c>
      <c r="H103" s="5" t="s">
        <v>45</v>
      </c>
      <c r="I103" s="5" t="s">
        <v>271</v>
      </c>
      <c r="J103" s="5"/>
      <c r="K103" s="6"/>
      <c r="L103" s="3"/>
      <c r="M103" s="31" t="s">
        <v>270</v>
      </c>
      <c r="N103" s="7">
        <v>45317</v>
      </c>
      <c r="O103" s="7">
        <v>45324</v>
      </c>
      <c r="P103" s="7"/>
      <c r="Q103" s="7"/>
      <c r="R103" s="7">
        <v>45320</v>
      </c>
      <c r="S103" s="9" t="str" cm="1">
        <f t="array" aca="1" ref="S103" ca="1">IF(O103="","Sem prazo",(_xlfn.IFS((AND(R103="",O103&lt;=$M$1)),"Atrasada",AND(OR(R103="",R103&gt;=$M$1),O103&gt;$M$1),"Em andamento",R103="Cancelada","Cancelada",(OR(R103&lt;&gt;"",R103&lt;&gt;"Cancelada")),"Concluída")))</f>
        <v>Concluída</v>
      </c>
      <c r="T103" s="11"/>
      <c r="U103" s="14"/>
      <c r="V103" s="10" t="e">
        <f>_xlfn.XLOOKUP(O103,#REF!,#REF!)</f>
        <v>#REF!</v>
      </c>
      <c r="W103" s="10" t="e">
        <f>_xlfn.XLOOKUP(R103,#REF!,#REF!)</f>
        <v>#REF!</v>
      </c>
    </row>
    <row r="104" spans="2:23" ht="32.5" customHeight="1" x14ac:dyDescent="0.35">
      <c r="B104" s="3">
        <v>101</v>
      </c>
      <c r="C104" s="3" t="s">
        <v>168</v>
      </c>
      <c r="D104" s="12" t="s">
        <v>265</v>
      </c>
      <c r="E104" s="12" t="s">
        <v>266</v>
      </c>
      <c r="F104" s="5" t="s">
        <v>267</v>
      </c>
      <c r="G104" s="5" t="s">
        <v>268</v>
      </c>
      <c r="H104" s="5" t="s">
        <v>45</v>
      </c>
      <c r="I104" s="5" t="s">
        <v>272</v>
      </c>
      <c r="J104" s="5"/>
      <c r="K104" s="6"/>
      <c r="L104" s="3"/>
      <c r="M104" s="31" t="s">
        <v>270</v>
      </c>
      <c r="N104" s="7">
        <v>45317</v>
      </c>
      <c r="O104" s="7">
        <v>45324</v>
      </c>
      <c r="P104" s="7"/>
      <c r="Q104" s="7"/>
      <c r="R104" s="7">
        <v>45324</v>
      </c>
      <c r="S104" s="9" t="str" cm="1">
        <f t="array" aca="1" ref="S104" ca="1">IF(O104="","Sem prazo",(_xlfn.IFS((AND(R104="",O104&lt;=$M$1)),"Atrasada",AND(OR(R104="",R104&gt;=$M$1),O104&gt;$M$1),"Em andamento",R104="Cancelada","Cancelada",(OR(R104&lt;&gt;"",R104&lt;&gt;"Cancelada")),"Concluída")))</f>
        <v>Concluída</v>
      </c>
      <c r="T104" s="11"/>
      <c r="U104" s="14"/>
      <c r="V104" s="10" t="e">
        <f>_xlfn.XLOOKUP(O104,#REF!,#REF!)</f>
        <v>#REF!</v>
      </c>
      <c r="W104" s="10" t="e">
        <f>_xlfn.XLOOKUP(R104,#REF!,#REF!)</f>
        <v>#REF!</v>
      </c>
    </row>
    <row r="105" spans="2:23" ht="32.5" customHeight="1" x14ac:dyDescent="0.35">
      <c r="B105" s="3">
        <v>102</v>
      </c>
      <c r="C105" s="3" t="s">
        <v>168</v>
      </c>
      <c r="D105" s="12" t="s">
        <v>265</v>
      </c>
      <c r="E105" s="4" t="s">
        <v>91</v>
      </c>
      <c r="F105" s="5" t="s">
        <v>175</v>
      </c>
      <c r="G105" s="5" t="s">
        <v>273</v>
      </c>
      <c r="H105" s="5" t="s">
        <v>45</v>
      </c>
      <c r="I105" s="5" t="s">
        <v>274</v>
      </c>
      <c r="J105" s="5"/>
      <c r="K105" s="6"/>
      <c r="L105" s="3"/>
      <c r="M105" s="3" t="s">
        <v>173</v>
      </c>
      <c r="N105" s="7">
        <v>45322</v>
      </c>
      <c r="O105" s="7">
        <v>45323</v>
      </c>
      <c r="P105" s="7"/>
      <c r="Q105" s="7"/>
      <c r="R105" s="7">
        <v>45323</v>
      </c>
      <c r="S105" s="9" t="str" cm="1">
        <f t="array" aca="1" ref="S105" ca="1">IF(O105="","Sem prazo",(_xlfn.IFS((AND(R105="",O105&lt;=$M$1)),"Atrasada",AND(OR(R105="",R105&gt;=$M$1),O105&gt;$M$1),"Em andamento",R105="Cancelada","Cancelada",(OR(R105&lt;&gt;"",R105&lt;&gt;"Cancelada")),"Concluída")))</f>
        <v>Concluída</v>
      </c>
      <c r="T105" s="11"/>
      <c r="U105" s="14"/>
      <c r="V105" s="10" t="e">
        <f>_xlfn.XLOOKUP(O105,#REF!,#REF!)</f>
        <v>#REF!</v>
      </c>
      <c r="W105" s="10" t="e">
        <f>_xlfn.XLOOKUP(R105,#REF!,#REF!)</f>
        <v>#REF!</v>
      </c>
    </row>
    <row r="106" spans="2:23" ht="32.5" customHeight="1" x14ac:dyDescent="0.35">
      <c r="B106" s="3">
        <v>103</v>
      </c>
      <c r="C106" s="3" t="s">
        <v>168</v>
      </c>
      <c r="D106" s="12" t="s">
        <v>265</v>
      </c>
      <c r="E106" s="4" t="s">
        <v>91</v>
      </c>
      <c r="F106" s="5" t="s">
        <v>175</v>
      </c>
      <c r="G106" s="5" t="s">
        <v>273</v>
      </c>
      <c r="H106" s="5" t="s">
        <v>45</v>
      </c>
      <c r="I106" s="5" t="s">
        <v>275</v>
      </c>
      <c r="J106" s="5"/>
      <c r="K106" s="6"/>
      <c r="L106" s="3"/>
      <c r="M106" s="3" t="s">
        <v>97</v>
      </c>
      <c r="N106" s="7">
        <v>45323</v>
      </c>
      <c r="O106" s="7">
        <v>45323</v>
      </c>
      <c r="P106" s="7"/>
      <c r="Q106" s="7"/>
      <c r="R106" s="7">
        <v>45323</v>
      </c>
      <c r="S106" s="9" t="str" cm="1">
        <f t="array" aca="1" ref="S106" ca="1">IF(O106="","Sem prazo",(_xlfn.IFS((AND(R106="",O106&lt;=$M$1)),"Atrasada",AND(OR(R106="",R106&gt;=$M$1),O106&gt;$M$1),"Em andamento",R106="Cancelada","Cancelada",(OR(R106&lt;&gt;"",R106&lt;&gt;"Cancelada")),"Concluída")))</f>
        <v>Concluída</v>
      </c>
      <c r="T106" s="11"/>
      <c r="U106" s="14"/>
      <c r="V106" s="10" t="e">
        <f>_xlfn.XLOOKUP(O106,#REF!,#REF!)</f>
        <v>#REF!</v>
      </c>
      <c r="W106" s="10" t="e">
        <f>_xlfn.XLOOKUP(R106,#REF!,#REF!)</f>
        <v>#REF!</v>
      </c>
    </row>
    <row r="107" spans="2:23" ht="32.5" customHeight="1" x14ac:dyDescent="0.35">
      <c r="B107" s="3">
        <v>104</v>
      </c>
      <c r="C107" s="3" t="s">
        <v>168</v>
      </c>
      <c r="D107" s="12" t="s">
        <v>265</v>
      </c>
      <c r="E107" s="4" t="s">
        <v>91</v>
      </c>
      <c r="F107" s="5" t="s">
        <v>175</v>
      </c>
      <c r="G107" s="5" t="s">
        <v>273</v>
      </c>
      <c r="H107" s="5" t="s">
        <v>45</v>
      </c>
      <c r="I107" s="5" t="s">
        <v>276</v>
      </c>
      <c r="J107" s="5"/>
      <c r="K107" s="6"/>
      <c r="L107" s="3"/>
      <c r="M107" s="3" t="s">
        <v>97</v>
      </c>
      <c r="N107" s="7">
        <v>45323</v>
      </c>
      <c r="O107" s="35">
        <v>45324</v>
      </c>
      <c r="P107" s="7"/>
      <c r="Q107" s="7"/>
      <c r="R107" s="7">
        <v>45323</v>
      </c>
      <c r="S107" s="9" t="str" cm="1">
        <f t="array" aca="1" ref="S107" ca="1">IF(O107="","Sem prazo",(_xlfn.IFS((AND(R107="",O107&lt;=$M$1)),"Atrasada",AND(OR(R107="",R107&gt;=$M$1),O107&gt;$M$1),"Em andamento",R107="Cancelada","Cancelada",(OR(R107&lt;&gt;"",R107&lt;&gt;"Cancelada")),"Concluída")))</f>
        <v>Concluída</v>
      </c>
      <c r="T107" s="11"/>
      <c r="U107" s="14"/>
      <c r="V107" s="10" t="e">
        <f>_xlfn.XLOOKUP(O107,#REF!,#REF!)</f>
        <v>#REF!</v>
      </c>
      <c r="W107" s="10" t="e">
        <f>_xlfn.XLOOKUP(R107,#REF!,#REF!)</f>
        <v>#REF!</v>
      </c>
    </row>
    <row r="108" spans="2:23" ht="32.5" customHeight="1" x14ac:dyDescent="0.35">
      <c r="B108" s="3">
        <v>108</v>
      </c>
      <c r="C108" s="3" t="s">
        <v>20</v>
      </c>
      <c r="D108" s="12" t="s">
        <v>265</v>
      </c>
      <c r="E108" s="4" t="s">
        <v>91</v>
      </c>
      <c r="F108" s="5" t="s">
        <v>175</v>
      </c>
      <c r="G108" s="5" t="s">
        <v>273</v>
      </c>
      <c r="H108" s="5" t="s">
        <v>45</v>
      </c>
      <c r="I108" s="5" t="s">
        <v>277</v>
      </c>
      <c r="J108" s="5"/>
      <c r="K108" s="6"/>
      <c r="L108" s="3"/>
      <c r="M108" s="3" t="s">
        <v>278</v>
      </c>
      <c r="N108" s="7">
        <v>45322</v>
      </c>
      <c r="O108" s="7">
        <v>45324</v>
      </c>
      <c r="P108" s="7"/>
      <c r="Q108" s="7"/>
      <c r="R108" s="7">
        <v>45324</v>
      </c>
      <c r="S108" s="9" t="str" cm="1">
        <f t="array" aca="1" ref="S108" ca="1">IF(O108="","Sem prazo",(_xlfn.IFS((AND(R108="",O108&lt;=$M$1)),"Atrasada",AND(OR(R108="",R108&gt;=$M$1),O108&gt;$M$1),"Em andamento",R108="Cancelada","Cancelada",(OR(R108&lt;&gt;"",R108&lt;&gt;"Cancelada")),"Concluída")))</f>
        <v>Concluída</v>
      </c>
      <c r="T108" s="11"/>
      <c r="U108" s="14"/>
      <c r="V108" s="10" t="e">
        <f>_xlfn.XLOOKUP(O108,#REF!,#REF!)</f>
        <v>#REF!</v>
      </c>
      <c r="W108" s="10" t="e">
        <f>_xlfn.XLOOKUP(R108,#REF!,#REF!)</f>
        <v>#REF!</v>
      </c>
    </row>
    <row r="109" spans="2:23" ht="32.5" customHeight="1" x14ac:dyDescent="0.35">
      <c r="B109" s="3">
        <v>109</v>
      </c>
      <c r="C109" s="3" t="s">
        <v>20</v>
      </c>
      <c r="D109" s="12" t="s">
        <v>265</v>
      </c>
      <c r="E109" s="4" t="s">
        <v>91</v>
      </c>
      <c r="F109" s="5" t="s">
        <v>175</v>
      </c>
      <c r="G109" s="5" t="s">
        <v>273</v>
      </c>
      <c r="H109" s="5" t="s">
        <v>45</v>
      </c>
      <c r="I109" s="5" t="s">
        <v>279</v>
      </c>
      <c r="J109" s="5"/>
      <c r="K109" s="6"/>
      <c r="L109" s="3"/>
      <c r="M109" s="3" t="s">
        <v>173</v>
      </c>
      <c r="N109" s="7">
        <v>45322</v>
      </c>
      <c r="O109" s="7">
        <v>45324</v>
      </c>
      <c r="P109" s="7"/>
      <c r="Q109" s="7"/>
      <c r="R109" s="7">
        <v>45324</v>
      </c>
      <c r="S109" s="9" t="str" cm="1">
        <f t="array" aca="1" ref="S109" ca="1">IF(O109="","Sem prazo",(_xlfn.IFS((AND(R109="",O109&lt;=$M$1)),"Atrasada",AND(OR(R109="",R109&gt;=$M$1),O109&gt;$M$1),"Em andamento",R109="Cancelada","Cancelada",(OR(R109&lt;&gt;"",R109&lt;&gt;"Cancelada")),"Concluída")))</f>
        <v>Concluída</v>
      </c>
      <c r="T109" s="11"/>
      <c r="U109" s="14"/>
      <c r="V109" s="10" t="e">
        <f>_xlfn.XLOOKUP(O109,#REF!,#REF!)</f>
        <v>#REF!</v>
      </c>
      <c r="W109" s="10" t="e">
        <f>_xlfn.XLOOKUP(R109,#REF!,#REF!)</f>
        <v>#REF!</v>
      </c>
    </row>
    <row r="110" spans="2:23" ht="32.5" customHeight="1" x14ac:dyDescent="0.35">
      <c r="B110" s="3">
        <v>110</v>
      </c>
      <c r="C110" s="3" t="s">
        <v>20</v>
      </c>
      <c r="D110" s="12" t="s">
        <v>265</v>
      </c>
      <c r="E110" s="4" t="s">
        <v>91</v>
      </c>
      <c r="F110" s="5" t="s">
        <v>175</v>
      </c>
      <c r="G110" s="5" t="s">
        <v>273</v>
      </c>
      <c r="H110" s="5" t="s">
        <v>45</v>
      </c>
      <c r="I110" s="5" t="s">
        <v>280</v>
      </c>
      <c r="J110" s="5"/>
      <c r="K110" s="6"/>
      <c r="L110" s="3"/>
      <c r="M110" s="3" t="s">
        <v>173</v>
      </c>
      <c r="N110" s="7">
        <v>45322</v>
      </c>
      <c r="O110" s="7">
        <v>45324</v>
      </c>
      <c r="P110" s="7"/>
      <c r="Q110" s="7"/>
      <c r="R110" s="7">
        <v>45324</v>
      </c>
      <c r="S110" s="9" t="str" cm="1">
        <f t="array" aca="1" ref="S110" ca="1">IF(O110="","Sem prazo",(_xlfn.IFS((AND(R110="",O110&lt;=$M$1)),"Atrasada",AND(OR(R110="",R110&gt;=$M$1),O110&gt;$M$1),"Em andamento",R110="Cancelada","Cancelada",(OR(R110&lt;&gt;"",R110&lt;&gt;"Cancelada")),"Concluída")))</f>
        <v>Concluída</v>
      </c>
      <c r="T110" s="11"/>
      <c r="U110" s="14"/>
      <c r="V110" s="10" t="e">
        <f>_xlfn.XLOOKUP(O110,#REF!,#REF!)</f>
        <v>#REF!</v>
      </c>
      <c r="W110" s="10" t="e">
        <f>_xlfn.XLOOKUP(R110,#REF!,#REF!)</f>
        <v>#REF!</v>
      </c>
    </row>
    <row r="111" spans="2:23" ht="32.5" customHeight="1" x14ac:dyDescent="0.35">
      <c r="B111" s="3">
        <v>111</v>
      </c>
      <c r="C111" s="3" t="s">
        <v>20</v>
      </c>
      <c r="D111" s="12" t="s">
        <v>265</v>
      </c>
      <c r="E111" s="4" t="s">
        <v>91</v>
      </c>
      <c r="F111" s="5" t="s">
        <v>175</v>
      </c>
      <c r="G111" s="5" t="s">
        <v>273</v>
      </c>
      <c r="H111" s="5" t="s">
        <v>45</v>
      </c>
      <c r="I111" s="5" t="s">
        <v>281</v>
      </c>
      <c r="J111" s="5"/>
      <c r="K111" s="6"/>
      <c r="L111" s="3"/>
      <c r="M111" s="3" t="s">
        <v>173</v>
      </c>
      <c r="N111" s="7">
        <v>45322</v>
      </c>
      <c r="O111" s="7">
        <v>45324</v>
      </c>
      <c r="P111" s="7"/>
      <c r="Q111" s="7"/>
      <c r="R111" s="7">
        <v>45324</v>
      </c>
      <c r="S111" s="9" t="str" cm="1">
        <f t="array" aca="1" ref="S111" ca="1">IF(O111="","Sem prazo",(_xlfn.IFS((AND(R111="",O111&lt;=$M$1)),"Atrasada",AND(OR(R111="",R111&gt;=$M$1),O111&gt;$M$1),"Em andamento",R111="Cancelada","Cancelada",(OR(R111&lt;&gt;"",R111&lt;&gt;"Cancelada")),"Concluída")))</f>
        <v>Concluída</v>
      </c>
      <c r="T111" s="11"/>
      <c r="U111" s="14"/>
      <c r="V111" s="10" t="e">
        <f>_xlfn.XLOOKUP(O111,#REF!,#REF!)</f>
        <v>#REF!</v>
      </c>
      <c r="W111" s="10" t="e">
        <f>_xlfn.XLOOKUP(R111,#REF!,#REF!)</f>
        <v>#REF!</v>
      </c>
    </row>
    <row r="112" spans="2:23" ht="32.5" customHeight="1" x14ac:dyDescent="0.35">
      <c r="B112" s="3">
        <v>112</v>
      </c>
      <c r="C112" s="3" t="s">
        <v>168</v>
      </c>
      <c r="D112" s="12" t="s">
        <v>282</v>
      </c>
      <c r="E112" s="12" t="s">
        <v>22</v>
      </c>
      <c r="F112" s="5" t="s">
        <v>283</v>
      </c>
      <c r="G112" s="5" t="s">
        <v>284</v>
      </c>
      <c r="H112" s="5" t="s">
        <v>45</v>
      </c>
      <c r="I112" s="5" t="s">
        <v>285</v>
      </c>
      <c r="J112" s="5"/>
      <c r="K112" s="6"/>
      <c r="L112" s="3"/>
      <c r="M112" s="3" t="s">
        <v>182</v>
      </c>
      <c r="N112" s="7">
        <v>45325</v>
      </c>
      <c r="O112" s="35">
        <v>45351</v>
      </c>
      <c r="P112" s="7">
        <v>45357</v>
      </c>
      <c r="Q112" s="7"/>
      <c r="R112" s="7">
        <v>45366</v>
      </c>
      <c r="S112" s="9" t="str" cm="1">
        <f t="array" aca="1" ref="S112" ca="1">IF(O112="","Sem prazo",(_xlfn.IFS((AND(R112="",O112&lt;=$M$1)),"Atrasada",AND(OR(R112="",R112&gt;=$M$1),O112&gt;$M$1),"Em andamento",R112="Cancelada","Cancelada",(OR(R112&lt;&gt;"",R112&lt;&gt;"Cancelada")),"Concluída")))</f>
        <v>Concluída</v>
      </c>
      <c r="T112" s="11"/>
      <c r="U112" s="14" t="s">
        <v>286</v>
      </c>
      <c r="V112" s="10" t="e">
        <f>_xlfn.XLOOKUP(O112,#REF!,#REF!)</f>
        <v>#REF!</v>
      </c>
      <c r="W112" s="10" t="e">
        <f>_xlfn.XLOOKUP(R112,#REF!,#REF!)</f>
        <v>#REF!</v>
      </c>
    </row>
    <row r="113" spans="2:23" ht="32.5" customHeight="1" x14ac:dyDescent="0.35">
      <c r="B113" s="3">
        <v>113</v>
      </c>
      <c r="C113" s="3" t="s">
        <v>168</v>
      </c>
      <c r="D113" s="12"/>
      <c r="E113" s="12" t="s">
        <v>287</v>
      </c>
      <c r="F113" s="5" t="s">
        <v>288</v>
      </c>
      <c r="G113" s="5" t="s">
        <v>289</v>
      </c>
      <c r="H113" s="5" t="s">
        <v>45</v>
      </c>
      <c r="I113" s="5" t="s">
        <v>290</v>
      </c>
      <c r="J113" s="5"/>
      <c r="K113" s="6"/>
      <c r="L113" s="3"/>
      <c r="M113" s="3" t="s">
        <v>291</v>
      </c>
      <c r="N113" s="7">
        <v>45331</v>
      </c>
      <c r="O113" s="35">
        <v>45343</v>
      </c>
      <c r="P113" s="7"/>
      <c r="Q113" s="7"/>
      <c r="R113" s="7">
        <v>45345</v>
      </c>
      <c r="S113" s="9" t="str" cm="1">
        <f t="array" aca="1" ref="S113" ca="1">IF(O113="","Sem prazo",(_xlfn.IFS((AND(R113="",O113&lt;=$M$1)),"Atrasada",AND(OR(R113="",R113&gt;=$M$1),O113&gt;$M$1),"Em andamento",R113="Cancelada","Cancelada",(OR(R113&lt;&gt;"",R113&lt;&gt;"Cancelada")),"Concluída")))</f>
        <v>Concluída</v>
      </c>
      <c r="T113" s="11"/>
      <c r="U113" s="14"/>
      <c r="V113" s="10" t="e">
        <f>_xlfn.XLOOKUP(O113,#REF!,#REF!)</f>
        <v>#REF!</v>
      </c>
      <c r="W113" s="10" t="e">
        <f>_xlfn.XLOOKUP(R113,#REF!,#REF!)</f>
        <v>#REF!</v>
      </c>
    </row>
    <row r="114" spans="2:23" ht="32.5" customHeight="1" x14ac:dyDescent="0.35">
      <c r="B114" s="3">
        <v>114</v>
      </c>
      <c r="C114" s="3" t="s">
        <v>168</v>
      </c>
      <c r="D114" s="12"/>
      <c r="E114" s="12" t="s">
        <v>292</v>
      </c>
      <c r="F114" s="5" t="s">
        <v>293</v>
      </c>
      <c r="G114" s="5" t="s">
        <v>294</v>
      </c>
      <c r="H114" s="5" t="s">
        <v>45</v>
      </c>
      <c r="I114" s="5" t="s">
        <v>295</v>
      </c>
      <c r="J114" s="5"/>
      <c r="K114" s="6"/>
      <c r="L114" s="3"/>
      <c r="M114" s="3" t="s">
        <v>291</v>
      </c>
      <c r="N114" s="7">
        <v>45334</v>
      </c>
      <c r="O114" s="7">
        <v>45337</v>
      </c>
      <c r="P114" s="7"/>
      <c r="Q114" s="7"/>
      <c r="R114" s="7">
        <v>45337</v>
      </c>
      <c r="S114" s="9" t="str" cm="1">
        <f t="array" aca="1" ref="S114" ca="1">IF(O114="","Sem prazo",(_xlfn.IFS((AND(R114="",O114&lt;=$M$1)),"Atrasada",AND(OR(R114="",R114&gt;=$M$1),O114&gt;$M$1),"Em andamento",R114="Cancelada","Cancelada",(OR(R114&lt;&gt;"",R114&lt;&gt;"Cancelada")),"Concluída")))</f>
        <v>Concluída</v>
      </c>
      <c r="T114" s="11"/>
      <c r="U114" s="14"/>
      <c r="V114" s="10" t="e">
        <f>_xlfn.XLOOKUP(O114,#REF!,#REF!)</f>
        <v>#REF!</v>
      </c>
      <c r="W114" s="10" t="e">
        <f>_xlfn.XLOOKUP(R114,#REF!,#REF!)</f>
        <v>#REF!</v>
      </c>
    </row>
    <row r="115" spans="2:23" ht="32.5" customHeight="1" x14ac:dyDescent="0.35">
      <c r="B115" s="3">
        <v>115</v>
      </c>
      <c r="C115" s="3" t="s">
        <v>168</v>
      </c>
      <c r="D115" s="12"/>
      <c r="E115" s="12" t="s">
        <v>292</v>
      </c>
      <c r="F115" s="5" t="s">
        <v>293</v>
      </c>
      <c r="G115" s="5" t="s">
        <v>294</v>
      </c>
      <c r="H115" s="5" t="s">
        <v>45</v>
      </c>
      <c r="I115" s="5" t="s">
        <v>296</v>
      </c>
      <c r="J115" s="5"/>
      <c r="K115" s="6"/>
      <c r="L115" s="3"/>
      <c r="M115" s="3" t="s">
        <v>297</v>
      </c>
      <c r="N115" s="7">
        <v>45334</v>
      </c>
      <c r="O115" s="7">
        <v>45342</v>
      </c>
      <c r="P115" s="7"/>
      <c r="Q115" s="7"/>
      <c r="R115" s="7">
        <v>45334</v>
      </c>
      <c r="S115" s="9" t="str" cm="1">
        <f t="array" aca="1" ref="S115" ca="1">IF(O115="","Sem prazo",(_xlfn.IFS((AND(R115="",O115&lt;=$M$1)),"Atrasada",AND(OR(R115="",R115&gt;=$M$1),O115&gt;$M$1),"Em andamento",R115="Cancelada","Cancelada",(OR(R115&lt;&gt;"",R115&lt;&gt;"Cancelada")),"Concluída")))</f>
        <v>Concluída</v>
      </c>
      <c r="T115" s="11"/>
      <c r="U115" s="14"/>
      <c r="V115" s="10" t="e">
        <f>_xlfn.XLOOKUP(O115,#REF!,#REF!)</f>
        <v>#REF!</v>
      </c>
      <c r="W115" s="10" t="e">
        <f>_xlfn.XLOOKUP(R115,#REF!,#REF!)</f>
        <v>#REF!</v>
      </c>
    </row>
    <row r="116" spans="2:23" ht="32.5" customHeight="1" x14ac:dyDescent="0.35">
      <c r="B116" s="3">
        <v>116</v>
      </c>
      <c r="C116" s="3" t="s">
        <v>168</v>
      </c>
      <c r="D116" s="12"/>
      <c r="E116" s="12" t="s">
        <v>292</v>
      </c>
      <c r="F116" s="5" t="s">
        <v>293</v>
      </c>
      <c r="G116" s="5" t="s">
        <v>294</v>
      </c>
      <c r="H116" s="5" t="s">
        <v>45</v>
      </c>
      <c r="I116" s="5" t="s">
        <v>298</v>
      </c>
      <c r="J116" s="5"/>
      <c r="K116" s="6"/>
      <c r="L116" s="3"/>
      <c r="M116" s="3" t="s">
        <v>182</v>
      </c>
      <c r="N116" s="7">
        <v>45334</v>
      </c>
      <c r="O116" s="7">
        <v>45345</v>
      </c>
      <c r="P116" s="7"/>
      <c r="Q116" s="7"/>
      <c r="R116" s="7">
        <v>45343</v>
      </c>
      <c r="S116" s="9" t="str" cm="1">
        <f t="array" aca="1" ref="S116" ca="1">IF(O116="","Sem prazo",(_xlfn.IFS((AND(R116="",O116&lt;=$M$1)),"Atrasada",AND(OR(R116="",R116&gt;=$M$1),O116&gt;$M$1),"Em andamento",R116="Cancelada","Cancelada",(OR(R116&lt;&gt;"",R116&lt;&gt;"Cancelada")),"Concluída")))</f>
        <v>Concluída</v>
      </c>
      <c r="T116" s="11"/>
      <c r="U116" s="14"/>
      <c r="V116" s="10" t="e">
        <f>_xlfn.XLOOKUP(O116,#REF!,#REF!)</f>
        <v>#REF!</v>
      </c>
      <c r="W116" s="10" t="e">
        <f>_xlfn.XLOOKUP(R116,#REF!,#REF!)</f>
        <v>#REF!</v>
      </c>
    </row>
    <row r="117" spans="2:23" ht="32.5" customHeight="1" x14ac:dyDescent="0.35">
      <c r="B117" s="3">
        <v>117</v>
      </c>
      <c r="C117" s="3" t="s">
        <v>168</v>
      </c>
      <c r="D117" s="12"/>
      <c r="E117" s="12" t="s">
        <v>292</v>
      </c>
      <c r="F117" s="5" t="s">
        <v>293</v>
      </c>
      <c r="G117" s="5" t="s">
        <v>294</v>
      </c>
      <c r="H117" s="5" t="s">
        <v>45</v>
      </c>
      <c r="I117" s="5" t="s">
        <v>299</v>
      </c>
      <c r="J117" s="5"/>
      <c r="K117" s="6"/>
      <c r="L117" s="3"/>
      <c r="M117" s="3" t="s">
        <v>182</v>
      </c>
      <c r="N117" s="7">
        <v>45334</v>
      </c>
      <c r="O117" s="7">
        <v>45345</v>
      </c>
      <c r="P117" s="7"/>
      <c r="Q117" s="7"/>
      <c r="R117" s="7">
        <v>45345</v>
      </c>
      <c r="S117" s="9" t="str" cm="1">
        <f t="array" aca="1" ref="S117" ca="1">IF(O117="","Sem prazo",(_xlfn.IFS((AND(R117="",O117&lt;=$M$1)),"Atrasada",AND(OR(R117="",R117&gt;=$M$1),O117&gt;$M$1),"Em andamento",R117="Cancelada","Cancelada",(OR(R117&lt;&gt;"",R117&lt;&gt;"Cancelada")),"Concluída")))</f>
        <v>Concluída</v>
      </c>
      <c r="T117" s="11"/>
      <c r="U117" s="14"/>
      <c r="V117" s="10" t="e">
        <f>_xlfn.XLOOKUP(O117,#REF!,#REF!)</f>
        <v>#REF!</v>
      </c>
      <c r="W117" s="10" t="e">
        <f>_xlfn.XLOOKUP(R117,#REF!,#REF!)</f>
        <v>#REF!</v>
      </c>
    </row>
    <row r="118" spans="2:23" ht="32.5" customHeight="1" x14ac:dyDescent="0.35">
      <c r="B118" s="3">
        <v>118</v>
      </c>
      <c r="C118" s="3" t="s">
        <v>168</v>
      </c>
      <c r="D118" s="12"/>
      <c r="E118" s="12" t="s">
        <v>292</v>
      </c>
      <c r="F118" s="5" t="s">
        <v>293</v>
      </c>
      <c r="G118" s="5" t="s">
        <v>294</v>
      </c>
      <c r="H118" s="5" t="s">
        <v>45</v>
      </c>
      <c r="I118" s="5" t="s">
        <v>300</v>
      </c>
      <c r="J118" s="5"/>
      <c r="K118" s="6"/>
      <c r="L118" s="3"/>
      <c r="M118" s="3" t="s">
        <v>301</v>
      </c>
      <c r="N118" s="7">
        <v>45334</v>
      </c>
      <c r="O118" s="35">
        <v>45351</v>
      </c>
      <c r="P118" s="35">
        <v>45356</v>
      </c>
      <c r="Q118" s="35"/>
      <c r="R118" s="7">
        <v>45365</v>
      </c>
      <c r="S118" s="9" t="str" cm="1">
        <f t="array" aca="1" ref="S118" ca="1">IF(O118="","Sem prazo",(_xlfn.IFS((AND(R118="",O118&lt;=$M$1)),"Atrasada",AND(OR(R118="",R118&gt;=$M$1),O118&gt;$M$1),"Em andamento",R118="Cancelada","Cancelada",(OR(R118&lt;&gt;"",R118&lt;&gt;"Cancelada")),"Concluída")))</f>
        <v>Concluída</v>
      </c>
      <c r="T118" s="11"/>
      <c r="U118" s="14"/>
      <c r="V118" s="10" t="e">
        <f>_xlfn.XLOOKUP(O118,#REF!,#REF!)</f>
        <v>#REF!</v>
      </c>
      <c r="W118" s="10" t="e">
        <f>_xlfn.XLOOKUP(R118,#REF!,#REF!)</f>
        <v>#REF!</v>
      </c>
    </row>
    <row r="119" spans="2:23" ht="32.5" customHeight="1" x14ac:dyDescent="0.35">
      <c r="B119" s="3">
        <v>119</v>
      </c>
      <c r="C119" s="3" t="s">
        <v>168</v>
      </c>
      <c r="D119" s="12" t="s">
        <v>169</v>
      </c>
      <c r="E119" s="12" t="s">
        <v>302</v>
      </c>
      <c r="F119" s="5" t="s">
        <v>215</v>
      </c>
      <c r="G119" s="5" t="s">
        <v>303</v>
      </c>
      <c r="H119" s="5" t="s">
        <v>304</v>
      </c>
      <c r="I119" s="5" t="s">
        <v>148</v>
      </c>
      <c r="J119" s="5"/>
      <c r="K119" s="6"/>
      <c r="L119" s="3"/>
      <c r="M119" s="3" t="s">
        <v>301</v>
      </c>
      <c r="N119" s="7">
        <v>45350</v>
      </c>
      <c r="O119" s="35">
        <v>45352</v>
      </c>
      <c r="P119" s="7"/>
      <c r="Q119" s="7"/>
      <c r="R119" s="7">
        <v>45366</v>
      </c>
      <c r="S119" s="9" t="str" cm="1">
        <f t="array" aca="1" ref="S119" ca="1">IF(O119="","Sem prazo",(_xlfn.IFS((AND(R119="",O119&lt;=$M$1)),"Atrasada",AND(OR(R119="",R119&gt;=$M$1),O119&gt;$M$1),"Em andamento",R119="Cancelada","Cancelada",(OR(R119&lt;&gt;"",R119&lt;&gt;"Cancelada")),"Concluída")))</f>
        <v>Concluída</v>
      </c>
      <c r="T119" s="11"/>
      <c r="U119" s="14"/>
      <c r="V119" s="10" t="e">
        <f>_xlfn.XLOOKUP(O119,#REF!,#REF!)</f>
        <v>#REF!</v>
      </c>
      <c r="W119" s="10" t="e">
        <f>_xlfn.XLOOKUP(R119,#REF!,#REF!)</f>
        <v>#REF!</v>
      </c>
    </row>
    <row r="120" spans="2:23" ht="32.5" customHeight="1" x14ac:dyDescent="0.35">
      <c r="B120" s="3">
        <v>120</v>
      </c>
      <c r="C120" s="3" t="s">
        <v>168</v>
      </c>
      <c r="D120" s="12" t="s">
        <v>282</v>
      </c>
      <c r="E120" s="12" t="s">
        <v>22</v>
      </c>
      <c r="F120" s="5" t="s">
        <v>283</v>
      </c>
      <c r="G120" s="5" t="s">
        <v>284</v>
      </c>
      <c r="H120" s="5" t="s">
        <v>45</v>
      </c>
      <c r="I120" s="5" t="s">
        <v>305</v>
      </c>
      <c r="J120" s="5"/>
      <c r="K120" s="6"/>
      <c r="L120" s="3"/>
      <c r="M120" s="3" t="s">
        <v>306</v>
      </c>
      <c r="N120" s="7">
        <v>45325</v>
      </c>
      <c r="O120" s="7">
        <v>45382</v>
      </c>
      <c r="P120" s="7"/>
      <c r="Q120" s="7"/>
      <c r="R120" s="7">
        <v>45361</v>
      </c>
      <c r="S120" s="9" t="str" cm="1">
        <f t="array" aca="1" ref="S120" ca="1">IF(O120="","Sem prazo",(_xlfn.IFS((AND(R120="",O120&lt;=$M$1)),"Atrasada",AND(OR(R120="",R120&gt;=$M$1),O120&gt;$M$1),"Em andamento",R120="Cancelada","Cancelada",(OR(R120&lt;&gt;"",R120&lt;&gt;"Cancelada")),"Concluída")))</f>
        <v>Concluída</v>
      </c>
      <c r="T120" s="11"/>
      <c r="U120" s="14"/>
      <c r="V120" s="10" t="e">
        <f>_xlfn.XLOOKUP(O120,#REF!,#REF!)</f>
        <v>#REF!</v>
      </c>
      <c r="W120" s="10" t="e">
        <f>_xlfn.XLOOKUP(R120,#REF!,#REF!)</f>
        <v>#REF!</v>
      </c>
    </row>
    <row r="121" spans="2:23" ht="32.5" customHeight="1" x14ac:dyDescent="0.35">
      <c r="B121" s="3">
        <v>121</v>
      </c>
      <c r="C121" s="3" t="s">
        <v>168</v>
      </c>
      <c r="D121" s="12" t="s">
        <v>39</v>
      </c>
      <c r="E121" s="12" t="s">
        <v>307</v>
      </c>
      <c r="F121" s="5" t="s">
        <v>308</v>
      </c>
      <c r="G121" s="5" t="s">
        <v>309</v>
      </c>
      <c r="H121" s="5" t="s">
        <v>45</v>
      </c>
      <c r="I121" s="5" t="s">
        <v>148</v>
      </c>
      <c r="J121" s="5"/>
      <c r="K121" s="6"/>
      <c r="L121" s="3"/>
      <c r="M121" s="3" t="s">
        <v>301</v>
      </c>
      <c r="N121" s="7">
        <v>45361</v>
      </c>
      <c r="O121" s="35">
        <v>45364</v>
      </c>
      <c r="P121" s="7"/>
      <c r="Q121" s="7"/>
      <c r="R121" s="7">
        <v>45383</v>
      </c>
      <c r="S121" s="9" t="str" cm="1">
        <f t="array" aca="1" ref="S121" ca="1">IF(O121="","Sem prazo",(_xlfn.IFS((AND(R121="",O121&lt;=$M$1)),"Atrasada",AND(OR(R121="",R121&gt;=$M$1),O121&gt;$M$1),"Em andamento",R121="Cancelada","Cancelada",(OR(R121&lt;&gt;"",R121&lt;&gt;"Cancelada")),"Concluída")))</f>
        <v>Concluída</v>
      </c>
      <c r="T121" s="11"/>
      <c r="U121" s="14" t="s">
        <v>310</v>
      </c>
      <c r="V121" s="10" t="e">
        <f>_xlfn.XLOOKUP(O121,#REF!,#REF!)</f>
        <v>#REF!</v>
      </c>
      <c r="W121" s="10" t="e">
        <f>_xlfn.XLOOKUP(R121,#REF!,#REF!)</f>
        <v>#REF!</v>
      </c>
    </row>
    <row r="122" spans="2:23" ht="32.5" customHeight="1" x14ac:dyDescent="0.35">
      <c r="B122" s="3">
        <v>122</v>
      </c>
      <c r="C122" s="3" t="s">
        <v>158</v>
      </c>
      <c r="D122" s="12" t="s">
        <v>311</v>
      </c>
      <c r="E122" s="12" t="s">
        <v>312</v>
      </c>
      <c r="F122" s="5" t="s">
        <v>313</v>
      </c>
      <c r="G122" s="5" t="s">
        <v>314</v>
      </c>
      <c r="H122" s="5" t="s">
        <v>45</v>
      </c>
      <c r="I122" s="5" t="s">
        <v>315</v>
      </c>
      <c r="J122" s="5"/>
      <c r="K122" s="6"/>
      <c r="L122" s="3"/>
      <c r="M122" s="3" t="s">
        <v>316</v>
      </c>
      <c r="N122" s="7">
        <v>45313</v>
      </c>
      <c r="O122" s="35">
        <v>45320</v>
      </c>
      <c r="P122" s="7"/>
      <c r="Q122" s="7"/>
      <c r="R122" s="7">
        <v>45372</v>
      </c>
      <c r="S122" s="9" t="str" cm="1">
        <f t="array" aca="1" ref="S122" ca="1">IF(O122="","Sem prazo",(_xlfn.IFS((AND(R122="",O122&lt;=$M$1)),"Atrasada",AND(OR(R122="",R122&gt;=$M$1),O122&gt;$M$1),"Em andamento",R122="Cancelada","Cancelada",(OR(R122&lt;&gt;"",R122&lt;&gt;"Cancelada")),"Concluída")))</f>
        <v>Concluída</v>
      </c>
      <c r="T122" s="11"/>
      <c r="U122" s="14" t="s">
        <v>317</v>
      </c>
      <c r="V122" s="10" t="e">
        <f>_xlfn.XLOOKUP(O122,#REF!,#REF!)</f>
        <v>#REF!</v>
      </c>
      <c r="W122" s="10" t="e">
        <f>_xlfn.XLOOKUP(R122,#REF!,#REF!)</f>
        <v>#REF!</v>
      </c>
    </row>
    <row r="123" spans="2:23" ht="32.5" customHeight="1" x14ac:dyDescent="0.35">
      <c r="B123" s="3">
        <v>123</v>
      </c>
      <c r="C123" s="3" t="s">
        <v>168</v>
      </c>
      <c r="D123" s="12" t="s">
        <v>318</v>
      </c>
      <c r="E123" s="12" t="s">
        <v>312</v>
      </c>
      <c r="F123" s="5" t="s">
        <v>313</v>
      </c>
      <c r="G123" s="5" t="s">
        <v>314</v>
      </c>
      <c r="H123" s="5" t="s">
        <v>45</v>
      </c>
      <c r="I123" s="5" t="s">
        <v>315</v>
      </c>
      <c r="J123" s="5"/>
      <c r="K123" s="6"/>
      <c r="L123" s="3"/>
      <c r="M123" s="3" t="s">
        <v>316</v>
      </c>
      <c r="N123" s="7">
        <v>45329</v>
      </c>
      <c r="O123" s="35">
        <v>45337</v>
      </c>
      <c r="P123" s="7"/>
      <c r="Q123" s="7"/>
      <c r="R123" s="7">
        <v>45354</v>
      </c>
      <c r="S123" s="9" t="str" cm="1">
        <f t="array" aca="1" ref="S123" ca="1">IF(O123="","Sem prazo",(_xlfn.IFS((AND(R123="",O123&lt;=$M$1)),"Atrasada",AND(OR(R123="",R123&gt;=$M$1),O123&gt;$M$1),"Em andamento",R123="Cancelada","Cancelada",(OR(R123&lt;&gt;"",R123&lt;&gt;"Cancelada")),"Concluída")))</f>
        <v>Concluída</v>
      </c>
      <c r="T123" s="11"/>
      <c r="U123" s="14"/>
      <c r="V123" s="10" t="e">
        <f>_xlfn.XLOOKUP(O123,#REF!,#REF!)</f>
        <v>#REF!</v>
      </c>
      <c r="W123" s="10" t="e">
        <f>_xlfn.XLOOKUP(R123,#REF!,#REF!)</f>
        <v>#REF!</v>
      </c>
    </row>
    <row r="124" spans="2:23" ht="32.5" customHeight="1" x14ac:dyDescent="0.35">
      <c r="B124" s="3">
        <v>124</v>
      </c>
      <c r="C124" s="3" t="s">
        <v>168</v>
      </c>
      <c r="D124" s="12" t="s">
        <v>184</v>
      </c>
      <c r="E124" s="12" t="s">
        <v>319</v>
      </c>
      <c r="F124" s="5" t="s">
        <v>320</v>
      </c>
      <c r="G124" s="5" t="s">
        <v>321</v>
      </c>
      <c r="H124" s="5" t="s">
        <v>45</v>
      </c>
      <c r="I124" s="5" t="s">
        <v>322</v>
      </c>
      <c r="J124" s="5"/>
      <c r="K124" s="6"/>
      <c r="L124" s="3"/>
      <c r="M124" s="3" t="s">
        <v>316</v>
      </c>
      <c r="N124" s="7">
        <v>45329</v>
      </c>
      <c r="O124" s="35">
        <v>45337</v>
      </c>
      <c r="P124" s="7"/>
      <c r="Q124" s="7"/>
      <c r="R124" s="7">
        <v>45355</v>
      </c>
      <c r="S124" s="9" t="str" cm="1">
        <f t="array" aca="1" ref="S124" ca="1">IF(O124="","Sem prazo",(_xlfn.IFS((AND(R124="",O124&lt;=$M$1)),"Atrasada",AND(OR(R124="",R124&gt;=$M$1),O124&gt;$M$1),"Em andamento",R124="Cancelada","Cancelada",(OR(R124&lt;&gt;"",R124&lt;&gt;"Cancelada")),"Concluída")))</f>
        <v>Concluída</v>
      </c>
      <c r="T124" s="11"/>
      <c r="U124" s="14"/>
      <c r="V124" s="10" t="e">
        <f>_xlfn.XLOOKUP(O124,#REF!,#REF!)</f>
        <v>#REF!</v>
      </c>
      <c r="W124" s="10" t="e">
        <f>_xlfn.XLOOKUP(R124,#REF!,#REF!)</f>
        <v>#REF!</v>
      </c>
    </row>
    <row r="125" spans="2:23" ht="32.5" customHeight="1" x14ac:dyDescent="0.35">
      <c r="B125" s="3">
        <v>125</v>
      </c>
      <c r="C125" s="3" t="s">
        <v>161</v>
      </c>
      <c r="D125" s="12" t="s">
        <v>323</v>
      </c>
      <c r="E125" s="12" t="s">
        <v>324</v>
      </c>
      <c r="F125" s="12" t="s">
        <v>325</v>
      </c>
      <c r="G125" s="5" t="s">
        <v>326</v>
      </c>
      <c r="H125" s="5" t="s">
        <v>45</v>
      </c>
      <c r="I125" s="5" t="s">
        <v>327</v>
      </c>
      <c r="J125" s="5"/>
      <c r="K125" s="6"/>
      <c r="L125" s="3"/>
      <c r="M125" s="3" t="s">
        <v>316</v>
      </c>
      <c r="N125" s="7">
        <v>45366</v>
      </c>
      <c r="O125" s="35">
        <v>45397</v>
      </c>
      <c r="P125" s="7"/>
      <c r="Q125" s="7"/>
      <c r="R125" s="7">
        <v>45408</v>
      </c>
      <c r="S125" s="9" t="str" cm="1">
        <f t="array" aca="1" ref="S125" ca="1">IF(O125="","Sem prazo",(_xlfn.IFS((AND(R125="",O125&lt;=$M$1)),"Atrasada",AND(OR(R125="",R125&gt;=$M$1),O125&gt;$M$1),"Em andamento",R125="Cancelada","Cancelada",(OR(R125&lt;&gt;"",R125&lt;&gt;"Cancelada")),"Concluída")))</f>
        <v>Concluída</v>
      </c>
      <c r="T125" s="11"/>
      <c r="U125" s="14"/>
      <c r="V125" s="10" t="e">
        <f>_xlfn.XLOOKUP(O125,#REF!,#REF!)</f>
        <v>#REF!</v>
      </c>
      <c r="W125" s="10" t="e">
        <f>_xlfn.XLOOKUP(R125,#REF!,#REF!)</f>
        <v>#REF!</v>
      </c>
    </row>
    <row r="126" spans="2:23" ht="32.5" customHeight="1" x14ac:dyDescent="0.35">
      <c r="B126" s="3">
        <v>126</v>
      </c>
      <c r="C126" s="3" t="s">
        <v>161</v>
      </c>
      <c r="D126" s="12" t="s">
        <v>323</v>
      </c>
      <c r="E126" s="12" t="s">
        <v>328</v>
      </c>
      <c r="F126" s="5" t="s">
        <v>329</v>
      </c>
      <c r="G126" s="5" t="s">
        <v>330</v>
      </c>
      <c r="H126" s="5" t="s">
        <v>45</v>
      </c>
      <c r="I126" s="5" t="s">
        <v>331</v>
      </c>
      <c r="J126" s="5"/>
      <c r="K126" s="6"/>
      <c r="L126" s="3"/>
      <c r="M126" s="3" t="s">
        <v>316</v>
      </c>
      <c r="N126" s="7">
        <v>45366</v>
      </c>
      <c r="O126" s="7">
        <v>45397</v>
      </c>
      <c r="P126" s="7"/>
      <c r="Q126" s="7"/>
      <c r="R126" s="7">
        <v>45397</v>
      </c>
      <c r="S126" s="9" t="str" cm="1">
        <f t="array" aca="1" ref="S126" ca="1">IF(O126="","Sem prazo",(_xlfn.IFS((AND(R126="",O126&lt;=$M$1)),"Atrasada",AND(OR(R126="",R126&gt;=$M$1),O126&gt;$M$1),"Em andamento",R126="Cancelada","Cancelada",(OR(R126&lt;&gt;"",R126&lt;&gt;"Cancelada")),"Concluída")))</f>
        <v>Concluída</v>
      </c>
      <c r="T126" s="11"/>
      <c r="U126" s="14"/>
      <c r="V126" s="10" t="e">
        <f>_xlfn.XLOOKUP(O126,#REF!,#REF!)</f>
        <v>#REF!</v>
      </c>
      <c r="W126" s="10" t="e">
        <f>_xlfn.XLOOKUP(R126,#REF!,#REF!)</f>
        <v>#REF!</v>
      </c>
    </row>
    <row r="127" spans="2:23" ht="32.5" customHeight="1" x14ac:dyDescent="0.35">
      <c r="B127" s="3">
        <v>127</v>
      </c>
      <c r="C127" s="3" t="s">
        <v>161</v>
      </c>
      <c r="D127" s="12" t="s">
        <v>332</v>
      </c>
      <c r="E127" s="12" t="s">
        <v>333</v>
      </c>
      <c r="F127" s="5" t="s">
        <v>179</v>
      </c>
      <c r="G127" s="5" t="s">
        <v>334</v>
      </c>
      <c r="H127" s="5" t="s">
        <v>45</v>
      </c>
      <c r="I127" s="5" t="s">
        <v>335</v>
      </c>
      <c r="J127" s="5"/>
      <c r="K127" s="6"/>
      <c r="L127" s="3"/>
      <c r="M127" s="3" t="s">
        <v>316</v>
      </c>
      <c r="N127" s="7">
        <v>45366</v>
      </c>
      <c r="O127" s="35">
        <v>45397</v>
      </c>
      <c r="P127" s="7"/>
      <c r="Q127" s="7"/>
      <c r="R127" s="7">
        <v>45405</v>
      </c>
      <c r="S127" s="9" t="str" cm="1">
        <f t="array" aca="1" ref="S127" ca="1">IF(O127="","Sem prazo",(_xlfn.IFS((AND(R127="",O127&lt;=$M$1)),"Atrasada",AND(OR(R127="",R127&gt;=$M$1),O127&gt;$M$1),"Em andamento",R127="Cancelada","Cancelada",(OR(R127&lt;&gt;"",R127&lt;&gt;"Cancelada")),"Concluída")))</f>
        <v>Concluída</v>
      </c>
      <c r="T127" s="11"/>
      <c r="U127" s="14"/>
      <c r="V127" s="10" t="e">
        <f>_xlfn.XLOOKUP(O127,#REF!,#REF!)</f>
        <v>#REF!</v>
      </c>
      <c r="W127" s="10" t="e">
        <f>_xlfn.XLOOKUP(R127,#REF!,#REF!)</f>
        <v>#REF!</v>
      </c>
    </row>
    <row r="128" spans="2:23" ht="32.5" customHeight="1" x14ac:dyDescent="0.35">
      <c r="B128" s="3">
        <v>128</v>
      </c>
      <c r="C128" s="3" t="s">
        <v>161</v>
      </c>
      <c r="D128" s="12" t="s">
        <v>224</v>
      </c>
      <c r="E128" s="12" t="s">
        <v>336</v>
      </c>
      <c r="F128" s="5" t="s">
        <v>337</v>
      </c>
      <c r="G128" s="5" t="s">
        <v>338</v>
      </c>
      <c r="H128" s="5" t="s">
        <v>45</v>
      </c>
      <c r="I128" s="5" t="s">
        <v>339</v>
      </c>
      <c r="J128" s="5"/>
      <c r="K128" s="6"/>
      <c r="L128" s="3"/>
      <c r="M128" s="3" t="s">
        <v>316</v>
      </c>
      <c r="N128" s="7">
        <v>45366</v>
      </c>
      <c r="O128" s="35">
        <v>45397</v>
      </c>
      <c r="P128" s="7"/>
      <c r="Q128" s="7"/>
      <c r="R128" s="7">
        <v>45405</v>
      </c>
      <c r="S128" s="9" t="str" cm="1">
        <f t="array" aca="1" ref="S128" ca="1">IF(O128="","Sem prazo",(_xlfn.IFS((AND(R128="",O128&lt;=$M$1)),"Atrasada",AND(OR(R128="",R128&gt;=$M$1),O128&gt;$M$1),"Em andamento",R128="Cancelada","Cancelada",(OR(R128&lt;&gt;"",R128&lt;&gt;"Cancelada")),"Concluída")))</f>
        <v>Concluída</v>
      </c>
      <c r="T128" s="11"/>
      <c r="U128" s="14"/>
      <c r="V128" s="10" t="e">
        <f>_xlfn.XLOOKUP(O128,#REF!,#REF!)</f>
        <v>#REF!</v>
      </c>
      <c r="W128" s="10" t="e">
        <f>_xlfn.XLOOKUP(R128,#REF!,#REF!)</f>
        <v>#REF!</v>
      </c>
    </row>
    <row r="129" spans="2:23" ht="32.5" customHeight="1" x14ac:dyDescent="0.35">
      <c r="B129" s="3">
        <v>129</v>
      </c>
      <c r="C129" s="3" t="s">
        <v>161</v>
      </c>
      <c r="D129" s="12" t="s">
        <v>332</v>
      </c>
      <c r="E129" s="12" t="s">
        <v>333</v>
      </c>
      <c r="F129" s="5" t="s">
        <v>202</v>
      </c>
      <c r="G129" s="5" t="s">
        <v>222</v>
      </c>
      <c r="H129" s="5" t="s">
        <v>45</v>
      </c>
      <c r="I129" s="5" t="s">
        <v>223</v>
      </c>
      <c r="J129" s="5"/>
      <c r="K129" s="6"/>
      <c r="L129" s="3"/>
      <c r="M129" s="3" t="s">
        <v>97</v>
      </c>
      <c r="N129" s="7">
        <v>45366</v>
      </c>
      <c r="O129" s="35">
        <v>45376</v>
      </c>
      <c r="P129" s="7"/>
      <c r="Q129" s="7"/>
      <c r="R129" s="7">
        <v>45386</v>
      </c>
      <c r="S129" s="9" t="str" cm="1">
        <f t="array" aca="1" ref="S129" ca="1">IF(O129="","Sem prazo",(_xlfn.IFS((AND(R129="",O129&lt;=$M$1)),"Atrasada",AND(OR(R129="",R129&gt;=$M$1),O129&gt;$M$1),"Em andamento",R129="Cancelada","Cancelada",(OR(R129&lt;&gt;"",R129&lt;&gt;"Cancelada")),"Concluída")))</f>
        <v>Concluída</v>
      </c>
      <c r="T129" s="11"/>
      <c r="U129" s="14"/>
      <c r="V129" s="10" t="e">
        <f>_xlfn.XLOOKUP(O129,#REF!,#REF!)</f>
        <v>#REF!</v>
      </c>
      <c r="W129" s="10" t="e">
        <f>_xlfn.XLOOKUP(R129,#REF!,#REF!)</f>
        <v>#REF!</v>
      </c>
    </row>
    <row r="130" spans="2:23" ht="32.5" customHeight="1" x14ac:dyDescent="0.35">
      <c r="B130" s="3">
        <v>130</v>
      </c>
      <c r="C130" s="3" t="s">
        <v>168</v>
      </c>
      <c r="D130" s="12" t="s">
        <v>39</v>
      </c>
      <c r="E130" s="12" t="s">
        <v>324</v>
      </c>
      <c r="F130" s="5" t="s">
        <v>308</v>
      </c>
      <c r="G130" s="5" t="s">
        <v>340</v>
      </c>
      <c r="H130" s="5" t="s">
        <v>45</v>
      </c>
      <c r="I130" s="5" t="s">
        <v>341</v>
      </c>
      <c r="J130" s="5"/>
      <c r="K130" s="6"/>
      <c r="L130" s="3"/>
      <c r="M130" s="3" t="s">
        <v>301</v>
      </c>
      <c r="N130" s="7">
        <v>45383</v>
      </c>
      <c r="O130" s="35">
        <v>45389</v>
      </c>
      <c r="P130" s="7"/>
      <c r="Q130" s="7"/>
      <c r="R130" s="7">
        <v>45394</v>
      </c>
      <c r="S130" s="9" t="str" cm="1">
        <f t="array" aca="1" ref="S130" ca="1">IF(O130="","Sem prazo",(_xlfn.IFS((AND(R130="",O130&lt;=$M$1)),"Atrasada",AND(OR(R130="",R130&gt;=$M$1),O130&gt;$M$1),"Em andamento",R130="Cancelada","Cancelada",(OR(R130&lt;&gt;"",R130&lt;&gt;"Cancelada")),"Concluída")))</f>
        <v>Concluída</v>
      </c>
      <c r="T130" s="11"/>
      <c r="U130" s="14" t="s">
        <v>310</v>
      </c>
      <c r="V130" s="10" t="e">
        <f>_xlfn.XLOOKUP(O130,#REF!,#REF!)</f>
        <v>#REF!</v>
      </c>
      <c r="W130" s="10" t="e">
        <f>_xlfn.XLOOKUP(R130,#REF!,#REF!)</f>
        <v>#REF!</v>
      </c>
    </row>
    <row r="131" spans="2:23" ht="32.5" customHeight="1" x14ac:dyDescent="0.35">
      <c r="B131" s="3">
        <v>131</v>
      </c>
      <c r="C131" s="3" t="s">
        <v>168</v>
      </c>
      <c r="D131" s="12" t="s">
        <v>342</v>
      </c>
      <c r="E131" s="12" t="s">
        <v>324</v>
      </c>
      <c r="F131" s="5" t="s">
        <v>308</v>
      </c>
      <c r="G131" s="5" t="s">
        <v>340</v>
      </c>
      <c r="H131" s="5" t="s">
        <v>45</v>
      </c>
      <c r="I131" s="5" t="s">
        <v>341</v>
      </c>
      <c r="J131" s="5"/>
      <c r="K131" s="6"/>
      <c r="L131" s="3"/>
      <c r="M131" s="3" t="s">
        <v>301</v>
      </c>
      <c r="N131" s="7">
        <v>45383</v>
      </c>
      <c r="O131" s="35">
        <v>45389</v>
      </c>
      <c r="P131" s="7"/>
      <c r="Q131" s="7"/>
      <c r="R131" s="7">
        <v>45394</v>
      </c>
      <c r="S131" s="9" t="str" cm="1">
        <f t="array" aca="1" ref="S131" ca="1">IF(O131="","Sem prazo",(_xlfn.IFS((AND(R131="",O131&lt;=$M$1)),"Atrasada",AND(OR(R131="",R131&gt;=$M$1),O131&gt;$M$1),"Em andamento",R131="Cancelada","Cancelada",(OR(R131&lt;&gt;"",R131&lt;&gt;"Cancelada")),"Concluída")))</f>
        <v>Concluída</v>
      </c>
      <c r="T131" s="11"/>
      <c r="U131" s="14" t="s">
        <v>310</v>
      </c>
      <c r="V131" s="10" t="e">
        <f>_xlfn.XLOOKUP(O131,#REF!,#REF!)</f>
        <v>#REF!</v>
      </c>
      <c r="W131" s="10" t="e">
        <f>_xlfn.XLOOKUP(R131,#REF!,#REF!)</f>
        <v>#REF!</v>
      </c>
    </row>
    <row r="132" spans="2:23" ht="32.5" customHeight="1" x14ac:dyDescent="0.35">
      <c r="B132" s="3">
        <v>132</v>
      </c>
      <c r="C132" s="3" t="s">
        <v>168</v>
      </c>
      <c r="D132" s="12"/>
      <c r="E132" s="12"/>
      <c r="F132" s="5"/>
      <c r="G132" s="5"/>
      <c r="H132" s="5" t="s">
        <v>45</v>
      </c>
      <c r="I132" s="5" t="s">
        <v>343</v>
      </c>
      <c r="J132" s="5"/>
      <c r="K132" s="6"/>
      <c r="L132" s="3"/>
      <c r="M132" s="3" t="s">
        <v>144</v>
      </c>
      <c r="N132" s="7">
        <v>45429</v>
      </c>
      <c r="O132" s="35">
        <v>45483</v>
      </c>
      <c r="P132" s="35">
        <v>45501</v>
      </c>
      <c r="Q132" s="35"/>
      <c r="R132" s="7">
        <v>45503</v>
      </c>
      <c r="S132" s="9" t="str" cm="1">
        <f t="array" aca="1" ref="S132" ca="1">IF(O132="","Sem prazo",(_xlfn.IFS((AND(R132="",O132&lt;=$M$1)),"Atrasada",AND(OR(R132="",R132&gt;=$M$1),O132&gt;$M$1),"Em andamento",R132="Cancelada","Cancelada",(OR(R132&lt;&gt;"",R132&lt;&gt;"Cancelada")),"Concluída")))</f>
        <v>Concluída</v>
      </c>
      <c r="T132" s="11"/>
      <c r="U132" s="14" t="s">
        <v>344</v>
      </c>
      <c r="V132" s="10" t="e">
        <f>_xlfn.XLOOKUP(O132,#REF!,#REF!)</f>
        <v>#REF!</v>
      </c>
      <c r="W132" s="10" t="e">
        <f>_xlfn.XLOOKUP(R132,#REF!,#REF!)</f>
        <v>#REF!</v>
      </c>
    </row>
    <row r="133" spans="2:23" ht="41.25" customHeight="1" x14ac:dyDescent="0.35">
      <c r="B133" s="3">
        <v>133</v>
      </c>
      <c r="C133" s="3" t="s">
        <v>168</v>
      </c>
      <c r="D133" s="12" t="s">
        <v>345</v>
      </c>
      <c r="E133" s="12" t="s">
        <v>346</v>
      </c>
      <c r="F133" s="5" t="s">
        <v>347</v>
      </c>
      <c r="G133" s="5" t="s">
        <v>348</v>
      </c>
      <c r="H133" s="5" t="s">
        <v>25</v>
      </c>
      <c r="I133" s="5" t="s">
        <v>349</v>
      </c>
      <c r="J133" s="5"/>
      <c r="K133" s="6"/>
      <c r="L133" s="3"/>
      <c r="M133" s="3" t="s">
        <v>350</v>
      </c>
      <c r="N133" s="7">
        <v>45471</v>
      </c>
      <c r="O133" s="35">
        <v>45481</v>
      </c>
      <c r="P133" s="7"/>
      <c r="Q133" s="7"/>
      <c r="R133" s="7">
        <v>45485</v>
      </c>
      <c r="S133" s="9" t="str" cm="1">
        <f t="array" aca="1" ref="S133" ca="1">IF(O133="","Sem prazo",(_xlfn.IFS((AND(R133="",O133&lt;=$M$1)),"Atrasada",AND(OR(R133="",R133&gt;=$M$1),O133&gt;$M$1),"Em andamento",R133="Cancelada","Cancelada",(OR(R133&lt;&gt;"",R133&lt;&gt;"Cancelada")),"Concluída")))</f>
        <v>Concluída</v>
      </c>
      <c r="T133" s="11"/>
      <c r="U133" s="14"/>
      <c r="V133" s="10" t="e">
        <f>_xlfn.XLOOKUP(O133,#REF!,#REF!)</f>
        <v>#REF!</v>
      </c>
      <c r="W133" s="10" t="e">
        <f>_xlfn.XLOOKUP(R133,#REF!,#REF!)</f>
        <v>#REF!</v>
      </c>
    </row>
    <row r="134" spans="2:23" ht="54.75" customHeight="1" x14ac:dyDescent="0.35">
      <c r="B134" s="3">
        <v>134</v>
      </c>
      <c r="C134" s="3" t="s">
        <v>168</v>
      </c>
      <c r="D134" s="12" t="s">
        <v>345</v>
      </c>
      <c r="E134" s="12" t="s">
        <v>346</v>
      </c>
      <c r="F134" s="5" t="s">
        <v>347</v>
      </c>
      <c r="G134" s="5" t="s">
        <v>348</v>
      </c>
      <c r="H134" s="5" t="s">
        <v>25</v>
      </c>
      <c r="I134" s="5" t="s">
        <v>349</v>
      </c>
      <c r="J134" s="5"/>
      <c r="K134" s="6"/>
      <c r="L134" s="3"/>
      <c r="M134" s="3" t="s">
        <v>350</v>
      </c>
      <c r="N134" s="7">
        <v>45471</v>
      </c>
      <c r="O134" s="35">
        <v>45481</v>
      </c>
      <c r="P134" s="7"/>
      <c r="Q134" s="7"/>
      <c r="R134" s="7">
        <v>45485</v>
      </c>
      <c r="S134" s="9" t="str" cm="1">
        <f t="array" aca="1" ref="S134" ca="1">IF(O134="","Sem prazo",(_xlfn.IFS((AND(R134="",O134&lt;=$M$1)),"Atrasada",AND(OR(R134="",R134&gt;=$M$1),O134&gt;$M$1),"Em andamento",R134="Cancelada","Cancelada",(OR(R134&lt;&gt;"",R134&lt;&gt;"Cancelada")),"Concluída")))</f>
        <v>Concluída</v>
      </c>
      <c r="T134" s="11"/>
      <c r="U134" s="14"/>
      <c r="V134" s="10" t="e">
        <f>_xlfn.XLOOKUP(O134,#REF!,#REF!)</f>
        <v>#REF!</v>
      </c>
      <c r="W134" s="10" t="e">
        <f>_xlfn.XLOOKUP(R134,#REF!,#REF!)</f>
        <v>#REF!</v>
      </c>
    </row>
    <row r="135" spans="2:23" ht="42.75" customHeight="1" x14ac:dyDescent="0.35">
      <c r="B135" s="3">
        <v>135</v>
      </c>
      <c r="C135" s="3" t="s">
        <v>168</v>
      </c>
      <c r="D135" s="12" t="s">
        <v>351</v>
      </c>
      <c r="E135" s="12" t="s">
        <v>346</v>
      </c>
      <c r="F135" s="5" t="s">
        <v>347</v>
      </c>
      <c r="G135" s="5" t="s">
        <v>348</v>
      </c>
      <c r="H135" s="5" t="s">
        <v>25</v>
      </c>
      <c r="I135" s="5" t="s">
        <v>349</v>
      </c>
      <c r="J135" s="5"/>
      <c r="K135" s="6"/>
      <c r="L135" s="3"/>
      <c r="M135" s="3" t="s">
        <v>350</v>
      </c>
      <c r="N135" s="7">
        <v>45471</v>
      </c>
      <c r="O135" s="35">
        <v>45481</v>
      </c>
      <c r="P135" s="7"/>
      <c r="Q135" s="7"/>
      <c r="R135" s="7">
        <v>45485</v>
      </c>
      <c r="S135" s="9" t="str" cm="1">
        <f t="array" aca="1" ref="S135" ca="1">IF(O135="","Sem prazo",(_xlfn.IFS((AND(R135="",O135&lt;=$M$1)),"Atrasada",AND(OR(R135="",R135&gt;=$M$1),O135&gt;$M$1),"Em andamento",R135="Cancelada","Cancelada",(OR(R135&lt;&gt;"",R135&lt;&gt;"Cancelada")),"Concluída")))</f>
        <v>Concluída</v>
      </c>
      <c r="T135" s="11"/>
      <c r="U135" s="14"/>
      <c r="V135" s="10" t="e">
        <f>_xlfn.XLOOKUP(O135,#REF!,#REF!)</f>
        <v>#REF!</v>
      </c>
      <c r="W135" s="10" t="e">
        <f>_xlfn.XLOOKUP(R135,#REF!,#REF!)</f>
        <v>#REF!</v>
      </c>
    </row>
    <row r="136" spans="2:23" ht="32.5" customHeight="1" x14ac:dyDescent="0.35">
      <c r="B136" s="3">
        <v>136</v>
      </c>
      <c r="C136" s="3" t="s">
        <v>161</v>
      </c>
      <c r="D136" s="12"/>
      <c r="E136" s="12" t="s">
        <v>248</v>
      </c>
      <c r="F136" s="5" t="s">
        <v>202</v>
      </c>
      <c r="G136" s="5" t="s">
        <v>249</v>
      </c>
      <c r="H136" s="5" t="s">
        <v>45</v>
      </c>
      <c r="I136" s="5" t="s">
        <v>352</v>
      </c>
      <c r="J136" s="5"/>
      <c r="K136" s="6"/>
      <c r="L136" s="3"/>
      <c r="M136" s="3" t="s">
        <v>353</v>
      </c>
      <c r="N136" s="7">
        <v>45316</v>
      </c>
      <c r="O136" s="7">
        <v>45483</v>
      </c>
      <c r="P136" s="7"/>
      <c r="Q136" s="7"/>
      <c r="R136" s="7">
        <v>45483</v>
      </c>
      <c r="S136" s="9" t="str" cm="1">
        <f t="array" aca="1" ref="S136" ca="1">IF(O136="","Sem prazo",(_xlfn.IFS((AND(R136="",O136&lt;=$M$1)),"Atrasada",AND(OR(R136="",R136&gt;=$M$1),O136&gt;$M$1),"Em andamento",R136="Cancelada","Cancelada",(OR(R136&lt;&gt;"",R136&lt;&gt;"Cancelada")),"Concluída")))</f>
        <v>Concluída</v>
      </c>
      <c r="T136" s="11"/>
      <c r="U136" s="14"/>
      <c r="V136" s="10" t="e">
        <f>_xlfn.XLOOKUP(O136,#REF!,#REF!)</f>
        <v>#REF!</v>
      </c>
      <c r="W136" s="10" t="e">
        <f>_xlfn.XLOOKUP(R136,#REF!,#REF!)</f>
        <v>#REF!</v>
      </c>
    </row>
    <row r="137" spans="2:23" ht="32.5" customHeight="1" x14ac:dyDescent="0.35">
      <c r="B137" s="3">
        <v>137</v>
      </c>
      <c r="C137" s="3" t="s">
        <v>161</v>
      </c>
      <c r="D137" s="12"/>
      <c r="E137" s="12" t="s">
        <v>248</v>
      </c>
      <c r="F137" s="5" t="s">
        <v>202</v>
      </c>
      <c r="G137" s="5" t="s">
        <v>249</v>
      </c>
      <c r="H137" s="5" t="s">
        <v>45</v>
      </c>
      <c r="I137" s="5" t="s">
        <v>354</v>
      </c>
      <c r="J137" s="5"/>
      <c r="K137" s="6"/>
      <c r="L137" s="3"/>
      <c r="M137" s="3" t="s">
        <v>353</v>
      </c>
      <c r="N137" s="7">
        <v>45316</v>
      </c>
      <c r="O137" s="7">
        <v>45499</v>
      </c>
      <c r="P137" s="7"/>
      <c r="Q137" s="7"/>
      <c r="R137" s="7">
        <v>45499</v>
      </c>
      <c r="S137" s="9" t="str" cm="1">
        <f t="array" aca="1" ref="S137" ca="1">IF(O137="","Sem prazo",(_xlfn.IFS((AND(R137="",O137&lt;=$M$1)),"Atrasada",AND(OR(R137="",R137&gt;=$M$1),O137&gt;$M$1),"Em andamento",R137="Cancelada","Cancelada",(OR(R137&lt;&gt;"",R137&lt;&gt;"Cancelada")),"Concluída")))</f>
        <v>Concluída</v>
      </c>
      <c r="T137" s="11"/>
      <c r="U137" s="14" t="s">
        <v>355</v>
      </c>
      <c r="V137" s="10" t="e">
        <f>_xlfn.XLOOKUP(O137,#REF!,#REF!)</f>
        <v>#REF!</v>
      </c>
      <c r="W137" s="10" t="e">
        <f>_xlfn.XLOOKUP(R137,#REF!,#REF!)</f>
        <v>#REF!</v>
      </c>
    </row>
    <row r="138" spans="2:23" ht="32.5" customHeight="1" x14ac:dyDescent="0.35">
      <c r="B138" s="3">
        <v>138</v>
      </c>
      <c r="C138" s="3" t="s">
        <v>161</v>
      </c>
      <c r="D138" s="12"/>
      <c r="E138" s="12" t="s">
        <v>248</v>
      </c>
      <c r="F138" s="5" t="s">
        <v>202</v>
      </c>
      <c r="G138" s="5" t="s">
        <v>249</v>
      </c>
      <c r="H138" s="5" t="s">
        <v>45</v>
      </c>
      <c r="I138" s="5" t="s">
        <v>356</v>
      </c>
      <c r="J138" s="5"/>
      <c r="K138" s="6"/>
      <c r="L138" s="3"/>
      <c r="M138" s="3" t="s">
        <v>353</v>
      </c>
      <c r="N138" s="7">
        <v>45316</v>
      </c>
      <c r="O138" s="35">
        <v>45499</v>
      </c>
      <c r="P138" s="7">
        <v>45506</v>
      </c>
      <c r="Q138" s="7"/>
      <c r="R138" s="7">
        <v>45506</v>
      </c>
      <c r="S138" s="9" t="str" cm="1">
        <f t="array" aca="1" ref="S138" ca="1">IF(O138="","Sem prazo",(_xlfn.IFS((AND(R138="",O138&lt;=$M$1)),"Atrasada",AND(OR(R138="",R138&gt;=$M$1),O138&gt;$M$1),"Em andamento",R138="Cancelada","Cancelada",(OR(R138&lt;&gt;"",R138&lt;&gt;"Cancelada")),"Concluída")))</f>
        <v>Concluída</v>
      </c>
      <c r="T138" s="11"/>
      <c r="U138" s="14"/>
      <c r="V138" s="10" t="e">
        <f>_xlfn.XLOOKUP(O138,#REF!,#REF!)</f>
        <v>#REF!</v>
      </c>
      <c r="W138" s="10" t="e">
        <f>_xlfn.XLOOKUP(R138,#REF!,#REF!)</f>
        <v>#REF!</v>
      </c>
    </row>
    <row r="139" spans="2:23" ht="32.5" customHeight="1" x14ac:dyDescent="0.35">
      <c r="B139" s="3">
        <v>139</v>
      </c>
      <c r="C139" s="3" t="s">
        <v>161</v>
      </c>
      <c r="D139" s="12"/>
      <c r="E139" s="12" t="s">
        <v>248</v>
      </c>
      <c r="F139" s="5" t="s">
        <v>202</v>
      </c>
      <c r="G139" s="5" t="s">
        <v>249</v>
      </c>
      <c r="H139" s="5" t="s">
        <v>45</v>
      </c>
      <c r="I139" s="5" t="s">
        <v>357</v>
      </c>
      <c r="J139" s="5"/>
      <c r="K139" s="6"/>
      <c r="L139" s="3"/>
      <c r="M139" s="3" t="s">
        <v>353</v>
      </c>
      <c r="N139" s="7">
        <v>45316</v>
      </c>
      <c r="O139" s="7">
        <v>45499</v>
      </c>
      <c r="P139" s="35">
        <v>45507</v>
      </c>
      <c r="Q139" s="35"/>
      <c r="R139" s="7">
        <v>45514</v>
      </c>
      <c r="S139" s="9" t="str" cm="1">
        <f t="array" aca="1" ref="S139" ca="1">IF(O139="","Sem prazo",(_xlfn.IFS((AND(R139="",O139&lt;=$M$1)),"Atrasada",AND(OR(R139="",R139&gt;=$M$1),O139&gt;$M$1),"Em andamento",R139="Cancelada","Cancelada",(OR(R139&lt;&gt;"",R139&lt;&gt;"Cancelada")),"Concluída")))</f>
        <v>Concluída</v>
      </c>
      <c r="T139" s="11"/>
      <c r="U139" s="14"/>
      <c r="V139" s="10" t="e">
        <f>_xlfn.XLOOKUP(O139,#REF!,#REF!)</f>
        <v>#REF!</v>
      </c>
      <c r="W139" s="10" t="e">
        <f>_xlfn.XLOOKUP(R139,#REF!,#REF!)</f>
        <v>#REF!</v>
      </c>
    </row>
    <row r="140" spans="2:23" ht="32.5" customHeight="1" x14ac:dyDescent="0.35">
      <c r="B140" s="3">
        <v>140</v>
      </c>
      <c r="C140" s="3" t="s">
        <v>161</v>
      </c>
      <c r="D140" s="12"/>
      <c r="E140" s="12" t="s">
        <v>248</v>
      </c>
      <c r="F140" s="5" t="s">
        <v>202</v>
      </c>
      <c r="G140" s="5" t="s">
        <v>249</v>
      </c>
      <c r="H140" s="5" t="s">
        <v>45</v>
      </c>
      <c r="I140" s="5" t="s">
        <v>358</v>
      </c>
      <c r="J140" s="5"/>
      <c r="K140" s="6"/>
      <c r="L140" s="3"/>
      <c r="M140" s="3" t="s">
        <v>353</v>
      </c>
      <c r="N140" s="7">
        <v>45316</v>
      </c>
      <c r="O140" s="35">
        <v>45499</v>
      </c>
      <c r="P140" s="7"/>
      <c r="Q140" s="7"/>
      <c r="R140" s="7">
        <v>45502</v>
      </c>
      <c r="S140" s="9" t="str" cm="1">
        <f t="array" aca="1" ref="S140" ca="1">IF(O140="","Sem prazo",(_xlfn.IFS((AND(R140="",O140&lt;=$M$1)),"Atrasada",AND(OR(R140="",R140&gt;=$M$1),O140&gt;$M$1),"Em andamento",R140="Cancelada","Cancelada",(OR(R140&lt;&gt;"",R140&lt;&gt;"Cancelada")),"Concluída")))</f>
        <v>Concluída</v>
      </c>
      <c r="T140" s="11"/>
      <c r="U140" s="14"/>
      <c r="V140" s="10" t="e">
        <f>_xlfn.XLOOKUP(O140,#REF!,#REF!)</f>
        <v>#REF!</v>
      </c>
      <c r="W140" s="10" t="e">
        <f>_xlfn.XLOOKUP(R140,#REF!,#REF!)</f>
        <v>#REF!</v>
      </c>
    </row>
    <row r="141" spans="2:23" ht="32.5" customHeight="1" x14ac:dyDescent="0.35">
      <c r="B141" s="3">
        <v>141</v>
      </c>
      <c r="C141" s="3" t="s">
        <v>168</v>
      </c>
      <c r="D141" s="12"/>
      <c r="E141" s="12" t="s">
        <v>359</v>
      </c>
      <c r="F141" s="5" t="s">
        <v>33</v>
      </c>
      <c r="G141" s="5" t="s">
        <v>360</v>
      </c>
      <c r="H141" s="5" t="s">
        <v>45</v>
      </c>
      <c r="I141" s="5" t="s">
        <v>361</v>
      </c>
      <c r="J141" s="5"/>
      <c r="K141" s="6"/>
      <c r="L141" s="3"/>
      <c r="M141" s="3" t="s">
        <v>362</v>
      </c>
      <c r="N141" s="7">
        <v>45510</v>
      </c>
      <c r="O141" s="7">
        <v>45524</v>
      </c>
      <c r="P141" s="7"/>
      <c r="Q141" s="7"/>
      <c r="R141" s="7">
        <v>45534</v>
      </c>
      <c r="S141" s="9" t="str" cm="1">
        <f t="array" aca="1" ref="S141" ca="1">IF(O141="","Sem prazo",(_xlfn.IFS((AND(R141="",O141&lt;=$M$1)),"Atrasada",AND(OR(R141="",R141&gt;=$M$1),O141&gt;$M$1),"Em andamento",R141="Cancelada","Cancelada",(OR(R141&lt;&gt;"",R141&lt;&gt;"Cancelada")),"Concluída")))</f>
        <v>Concluída</v>
      </c>
      <c r="T141" s="11"/>
      <c r="U141" s="14"/>
      <c r="V141" s="10" t="e">
        <f>_xlfn.XLOOKUP(O141,#REF!,#REF!)</f>
        <v>#REF!</v>
      </c>
      <c r="W141" s="10" t="e">
        <f>_xlfn.XLOOKUP(R141,#REF!,#REF!)</f>
        <v>#REF!</v>
      </c>
    </row>
    <row r="142" spans="2:23" ht="32.5" customHeight="1" x14ac:dyDescent="0.35">
      <c r="B142" s="3">
        <v>142</v>
      </c>
      <c r="C142" s="3" t="s">
        <v>168</v>
      </c>
      <c r="D142" s="12"/>
      <c r="E142" s="12" t="s">
        <v>359</v>
      </c>
      <c r="F142" s="5" t="s">
        <v>33</v>
      </c>
      <c r="G142" s="5" t="s">
        <v>360</v>
      </c>
      <c r="H142" s="5" t="s">
        <v>45</v>
      </c>
      <c r="I142" s="5" t="s">
        <v>363</v>
      </c>
      <c r="J142" s="5"/>
      <c r="K142" s="6"/>
      <c r="L142" s="3"/>
      <c r="M142" s="3" t="s">
        <v>362</v>
      </c>
      <c r="N142" s="7">
        <v>45534</v>
      </c>
      <c r="O142" s="7">
        <v>45537</v>
      </c>
      <c r="P142" s="7">
        <v>45550</v>
      </c>
      <c r="Q142" s="7"/>
      <c r="R142" s="7">
        <v>45550</v>
      </c>
      <c r="S142" s="9" t="str" cm="1">
        <f t="array" aca="1" ref="S142" ca="1">IF(O142="","Sem prazo",(_xlfn.IFS((AND(R142="",O142&lt;=$M$1)),"Atrasada",AND(OR(R142="",R142&gt;=$M$1),O142&gt;$M$1),"Em andamento",R142="Cancelada","Cancelada",(OR(R142&lt;&gt;"",R142&lt;&gt;"Cancelada")),"Concluída")))</f>
        <v>Concluída</v>
      </c>
      <c r="T142" s="11"/>
      <c r="U142" s="14" t="s">
        <v>364</v>
      </c>
      <c r="V142" s="10" t="e">
        <f>_xlfn.XLOOKUP(O142,#REF!,#REF!)</f>
        <v>#REF!</v>
      </c>
      <c r="W142" s="10" t="e">
        <f>_xlfn.XLOOKUP(R142,#REF!,#REF!)</f>
        <v>#REF!</v>
      </c>
    </row>
    <row r="143" spans="2:23" ht="32.5" customHeight="1" x14ac:dyDescent="0.35">
      <c r="B143" s="3">
        <v>143</v>
      </c>
      <c r="C143" s="3" t="s">
        <v>168</v>
      </c>
      <c r="D143" s="12"/>
      <c r="E143" s="12"/>
      <c r="F143" s="5"/>
      <c r="G143" s="5"/>
      <c r="H143" s="5"/>
      <c r="I143" s="5" t="s">
        <v>365</v>
      </c>
      <c r="J143" s="5"/>
      <c r="K143" s="6"/>
      <c r="L143" s="3"/>
      <c r="M143" s="3" t="s">
        <v>57</v>
      </c>
      <c r="N143" s="7">
        <v>45534</v>
      </c>
      <c r="O143" s="7">
        <v>45565</v>
      </c>
      <c r="P143" s="7">
        <v>45596</v>
      </c>
      <c r="Q143" s="7"/>
      <c r="R143" s="7">
        <v>45617</v>
      </c>
      <c r="S143" s="9" t="str" cm="1">
        <f t="array" aca="1" ref="S143" ca="1">IF(O143="","Sem prazo",(_xlfn.IFS((AND(R143="",O143&lt;=$M$1)),"Atrasada",AND(OR(R143="",R143&gt;=$M$1),O143&gt;$M$1),"Em andamento",R143="Cancelada","Cancelada",(OR(R143&lt;&gt;"",R143&lt;&gt;"Cancelada")),"Concluída")))</f>
        <v>Concluída</v>
      </c>
      <c r="T143" s="11"/>
      <c r="U143" s="14" t="s">
        <v>366</v>
      </c>
      <c r="V143" s="10" t="e">
        <f>_xlfn.XLOOKUP(O143,#REF!,#REF!)</f>
        <v>#REF!</v>
      </c>
      <c r="W143" s="10" t="e">
        <f>_xlfn.XLOOKUP(R143,#REF!,#REF!)</f>
        <v>#REF!</v>
      </c>
    </row>
    <row r="144" spans="2:23" ht="32.5" customHeight="1" x14ac:dyDescent="0.35">
      <c r="B144" s="3">
        <v>144</v>
      </c>
      <c r="C144" s="3" t="s">
        <v>168</v>
      </c>
      <c r="D144" s="12"/>
      <c r="E144" s="12"/>
      <c r="F144" s="5"/>
      <c r="G144" s="5"/>
      <c r="H144" s="5"/>
      <c r="I144" s="5" t="s">
        <v>367</v>
      </c>
      <c r="J144" s="5"/>
      <c r="K144" s="6"/>
      <c r="L144" s="3"/>
      <c r="M144" s="3" t="s">
        <v>57</v>
      </c>
      <c r="N144" s="7">
        <v>45534</v>
      </c>
      <c r="O144" s="7">
        <v>45550</v>
      </c>
      <c r="P144" s="7"/>
      <c r="Q144" s="7"/>
      <c r="R144" s="7">
        <v>45550</v>
      </c>
      <c r="S144" s="9" t="str" cm="1">
        <f t="array" aca="1" ref="S144" ca="1">IF(O144="","Sem prazo",(_xlfn.IFS((AND(R144="",O144&lt;=$M$1)),"Atrasada",AND(OR(R144="",R144&gt;=$M$1),O144&gt;$M$1),"Em andamento",R144="Cancelada","Cancelada",(OR(R144&lt;&gt;"",R144&lt;&gt;"Cancelada")),"Concluída")))</f>
        <v>Concluída</v>
      </c>
      <c r="T144" s="11"/>
      <c r="U144" s="14"/>
      <c r="V144" s="10" t="e">
        <f>_xlfn.XLOOKUP(O144,#REF!,#REF!)</f>
        <v>#REF!</v>
      </c>
      <c r="W144" s="10" t="e">
        <f>_xlfn.XLOOKUP(R144,#REF!,#REF!)</f>
        <v>#REF!</v>
      </c>
    </row>
    <row r="145" spans="2:23" ht="32.5" customHeight="1" x14ac:dyDescent="0.35">
      <c r="B145" s="3">
        <v>145</v>
      </c>
      <c r="C145" s="3" t="s">
        <v>168</v>
      </c>
      <c r="D145" s="12"/>
      <c r="E145" s="12"/>
      <c r="F145" s="5"/>
      <c r="G145" s="5"/>
      <c r="H145" s="5"/>
      <c r="I145" s="5" t="s">
        <v>368</v>
      </c>
      <c r="J145" s="5"/>
      <c r="K145" s="6"/>
      <c r="L145" s="3"/>
      <c r="M145" s="3" t="s">
        <v>97</v>
      </c>
      <c r="N145" s="7">
        <v>45534</v>
      </c>
      <c r="O145" s="7">
        <v>45550</v>
      </c>
      <c r="P145" s="7"/>
      <c r="Q145" s="7"/>
      <c r="R145" s="7">
        <v>45565</v>
      </c>
      <c r="S145" s="9" t="str" cm="1">
        <f t="array" aca="1" ref="S145" ca="1">IF(O145="","Sem prazo",(_xlfn.IFS((AND(R145="",O145&lt;=$M$1)),"Atrasada",AND(OR(R145="",R145&gt;=$M$1),O145&gt;$M$1),"Em andamento",R145="Cancelada","Cancelada",(OR(R145&lt;&gt;"",R145&lt;&gt;"Cancelada")),"Concluída")))</f>
        <v>Concluída</v>
      </c>
      <c r="T145" s="11"/>
      <c r="U145" s="14" t="s">
        <v>369</v>
      </c>
      <c r="V145" s="10" t="e">
        <f>_xlfn.XLOOKUP(O145,#REF!,#REF!)</f>
        <v>#REF!</v>
      </c>
      <c r="W145" s="10" t="e">
        <f>_xlfn.XLOOKUP(R145,#REF!,#REF!)</f>
        <v>#REF!</v>
      </c>
    </row>
    <row r="146" spans="2:23" ht="32.5" customHeight="1" x14ac:dyDescent="0.35">
      <c r="B146" s="3">
        <v>146</v>
      </c>
      <c r="C146" s="3" t="s">
        <v>168</v>
      </c>
      <c r="D146" s="12"/>
      <c r="E146" s="12"/>
      <c r="F146" s="5"/>
      <c r="G146" s="5"/>
      <c r="H146" s="5"/>
      <c r="I146" s="5" t="s">
        <v>370</v>
      </c>
      <c r="J146" s="5"/>
      <c r="K146" s="6"/>
      <c r="L146" s="3"/>
      <c r="M146" s="3" t="s">
        <v>297</v>
      </c>
      <c r="N146" s="7">
        <v>45534</v>
      </c>
      <c r="O146" s="7">
        <v>45550</v>
      </c>
      <c r="P146" s="7">
        <v>45565</v>
      </c>
      <c r="Q146" s="7"/>
      <c r="R146" s="7">
        <v>45570</v>
      </c>
      <c r="S146" s="9" t="str" cm="1">
        <f t="array" aca="1" ref="S146" ca="1">IF(O146="","Sem prazo",(_xlfn.IFS((AND(R146="",O146&lt;=$M$1)),"Atrasada",AND(OR(R146="",R146&gt;=$M$1),O146&gt;$M$1),"Em andamento",R146="Cancelada","Cancelada",(OR(R146&lt;&gt;"",R146&lt;&gt;"Cancelada")),"Concluída")))</f>
        <v>Concluída</v>
      </c>
      <c r="T146" s="11"/>
      <c r="U146" s="14" t="s">
        <v>371</v>
      </c>
      <c r="V146" s="10" t="e">
        <f>_xlfn.XLOOKUP(O146,#REF!,#REF!)</f>
        <v>#REF!</v>
      </c>
      <c r="W146" s="10" t="e">
        <f>_xlfn.XLOOKUP(R146,#REF!,#REF!)</f>
        <v>#REF!</v>
      </c>
    </row>
    <row r="147" spans="2:23" ht="32.5" customHeight="1" x14ac:dyDescent="0.35">
      <c r="B147" s="3">
        <v>147</v>
      </c>
      <c r="C147" s="3" t="s">
        <v>168</v>
      </c>
      <c r="D147" s="12"/>
      <c r="E147" s="12"/>
      <c r="F147" s="5"/>
      <c r="G147" s="5"/>
      <c r="H147" s="5"/>
      <c r="I147" s="5" t="s">
        <v>372</v>
      </c>
      <c r="J147" s="5"/>
      <c r="K147" s="6"/>
      <c r="L147" s="3"/>
      <c r="M147" s="3" t="s">
        <v>301</v>
      </c>
      <c r="N147" s="7">
        <v>45534</v>
      </c>
      <c r="O147" s="7">
        <v>45537</v>
      </c>
      <c r="P147" s="7"/>
      <c r="Q147" s="7"/>
      <c r="R147" s="7">
        <v>45540</v>
      </c>
      <c r="S147" s="9" t="str" cm="1">
        <f t="array" aca="1" ref="S147" ca="1">IF(O147="","Sem prazo",(_xlfn.IFS((AND(R147="",O147&lt;=$M$1)),"Atrasada",AND(OR(R147="",R147&gt;=$M$1),O147&gt;$M$1),"Em andamento",R147="Cancelada","Cancelada",(OR(R147&lt;&gt;"",R147&lt;&gt;"Cancelada")),"Concluída")))</f>
        <v>Concluída</v>
      </c>
      <c r="T147" s="11"/>
      <c r="U147" s="14"/>
      <c r="V147" s="10" t="e">
        <f>_xlfn.XLOOKUP(O147,#REF!,#REF!)</f>
        <v>#REF!</v>
      </c>
      <c r="W147" s="10" t="e">
        <f>_xlfn.XLOOKUP(R147,#REF!,#REF!)</f>
        <v>#REF!</v>
      </c>
    </row>
    <row r="148" spans="2:23" ht="32.5" customHeight="1" x14ac:dyDescent="0.35">
      <c r="B148" s="3">
        <v>149</v>
      </c>
      <c r="C148" s="3" t="s">
        <v>168</v>
      </c>
      <c r="D148" s="12"/>
      <c r="E148" s="12"/>
      <c r="F148" s="5"/>
      <c r="G148" s="5"/>
      <c r="H148" s="5"/>
      <c r="I148" s="5" t="s">
        <v>373</v>
      </c>
      <c r="J148" s="5"/>
      <c r="K148" s="6"/>
      <c r="L148" s="3"/>
      <c r="M148" s="3" t="s">
        <v>301</v>
      </c>
      <c r="N148" s="7">
        <v>45534</v>
      </c>
      <c r="O148" s="7">
        <v>45565</v>
      </c>
      <c r="P148" s="7">
        <v>45611</v>
      </c>
      <c r="Q148" s="7"/>
      <c r="R148" s="7">
        <v>45767</v>
      </c>
      <c r="S148" s="9" t="str" cm="1">
        <f t="array" aca="1" ref="S148" ca="1">IF(O148="","Sem prazo",(_xlfn.IFS((AND(R148="",O148&lt;=$M$1)),"Atrasada",AND(OR(R148="",R148&gt;=$M$1),O148&gt;$M$1),"Em andamento",R148="Cancelada","Cancelada",(OR(R148&lt;&gt;"",R148&lt;&gt;"Cancelada")),"Concluída")))</f>
        <v>Concluída</v>
      </c>
      <c r="T148" s="11"/>
      <c r="U148" s="14"/>
      <c r="V148" s="10" t="e">
        <f>_xlfn.XLOOKUP(O148,#REF!,#REF!)</f>
        <v>#REF!</v>
      </c>
      <c r="W148" s="10"/>
    </row>
    <row r="149" spans="2:23" ht="32.5" customHeight="1" x14ac:dyDescent="0.35">
      <c r="B149" s="3">
        <v>150</v>
      </c>
      <c r="C149" s="3" t="s">
        <v>168</v>
      </c>
      <c r="D149" s="12"/>
      <c r="E149" s="12"/>
      <c r="F149" s="5"/>
      <c r="G149" s="5"/>
      <c r="H149" s="5"/>
      <c r="I149" s="5" t="s">
        <v>374</v>
      </c>
      <c r="J149" s="5"/>
      <c r="K149" s="6"/>
      <c r="L149" s="3"/>
      <c r="M149" s="3" t="s">
        <v>57</v>
      </c>
      <c r="N149" s="7">
        <v>45534</v>
      </c>
      <c r="O149" s="7">
        <v>45547</v>
      </c>
      <c r="P149" s="7">
        <v>45611</v>
      </c>
      <c r="Q149" s="7"/>
      <c r="R149" s="7">
        <v>45646</v>
      </c>
      <c r="S149" s="9" t="str" cm="1">
        <f t="array" aca="1" ref="S149" ca="1">IF(O149="","Sem prazo",(_xlfn.IFS((AND(R149="",O149&lt;=$M$1)),"Atrasada",AND(OR(R149="",R149&gt;=$M$1),O149&gt;$M$1),"Em andamento",R149="Cancelada","Cancelada",(OR(R149&lt;&gt;"",R149&lt;&gt;"Cancelada")),"Concluída")))</f>
        <v>Concluída</v>
      </c>
      <c r="T149" s="11"/>
      <c r="U149" s="14" t="s">
        <v>375</v>
      </c>
      <c r="V149" s="10" t="e">
        <f>_xlfn.XLOOKUP(O149,#REF!,#REF!)</f>
        <v>#REF!</v>
      </c>
      <c r="W149" s="10"/>
    </row>
    <row r="150" spans="2:23" ht="32.5" customHeight="1" x14ac:dyDescent="0.35">
      <c r="B150" s="3">
        <v>151</v>
      </c>
      <c r="C150" s="3" t="s">
        <v>168</v>
      </c>
      <c r="D150" s="12"/>
      <c r="E150" s="12"/>
      <c r="F150" s="5"/>
      <c r="G150" s="5"/>
      <c r="H150" s="5"/>
      <c r="I150" s="5" t="s">
        <v>376</v>
      </c>
      <c r="J150" s="5"/>
      <c r="K150" s="6"/>
      <c r="L150" s="3"/>
      <c r="M150" s="3" t="s">
        <v>57</v>
      </c>
      <c r="N150" s="7">
        <v>45534</v>
      </c>
      <c r="O150" s="7">
        <v>45537</v>
      </c>
      <c r="P150" s="7"/>
      <c r="Q150" s="7"/>
      <c r="R150" s="7">
        <v>45445</v>
      </c>
      <c r="S150" s="9" t="str" cm="1">
        <f t="array" aca="1" ref="S150" ca="1">IF(O150="","Sem prazo",(_xlfn.IFS((AND(R150="",O150&lt;=$M$1)),"Atrasada",AND(OR(R150="",R150&gt;=$M$1),O150&gt;$M$1),"Em andamento",R150="Cancelada","Cancelada",(OR(R150&lt;&gt;"",R150&lt;&gt;"Cancelada")),"Concluída")))</f>
        <v>Concluída</v>
      </c>
      <c r="T150" s="11"/>
      <c r="U150" s="14"/>
      <c r="V150" s="10" t="e">
        <f>_xlfn.XLOOKUP(O150,#REF!,#REF!)</f>
        <v>#REF!</v>
      </c>
      <c r="W150" s="10" t="e">
        <f>_xlfn.XLOOKUP(R150,#REF!,#REF!)</f>
        <v>#REF!</v>
      </c>
    </row>
    <row r="151" spans="2:23" ht="32.5" customHeight="1" x14ac:dyDescent="0.35">
      <c r="B151" s="3">
        <v>152</v>
      </c>
      <c r="C151" s="3" t="s">
        <v>168</v>
      </c>
      <c r="D151" s="12"/>
      <c r="E151" s="12"/>
      <c r="F151" s="5"/>
      <c r="G151" s="5"/>
      <c r="H151" s="5"/>
      <c r="I151" s="5" t="s">
        <v>377</v>
      </c>
      <c r="J151" s="5"/>
      <c r="K151" s="6"/>
      <c r="L151" s="3"/>
      <c r="M151" s="3" t="s">
        <v>57</v>
      </c>
      <c r="N151" s="7">
        <v>45534</v>
      </c>
      <c r="O151" s="7">
        <v>45539</v>
      </c>
      <c r="P151" s="7"/>
      <c r="Q151" s="7"/>
      <c r="R151" s="7">
        <v>45539</v>
      </c>
      <c r="S151" s="9" t="str" cm="1">
        <f t="array" aca="1" ref="S151" ca="1">IF(O151="","Sem prazo",(_xlfn.IFS((AND(R151="",O151&lt;=$M$1)),"Atrasada",AND(OR(R151="",R151&gt;=$M$1),O151&gt;$M$1),"Em andamento",R151="Cancelada","Cancelada",(OR(R151&lt;&gt;"",R151&lt;&gt;"Cancelada")),"Concluída")))</f>
        <v>Concluída</v>
      </c>
      <c r="T151" s="11"/>
      <c r="U151" s="14"/>
      <c r="V151" s="10" t="e">
        <f>_xlfn.XLOOKUP(O151,#REF!,#REF!)</f>
        <v>#REF!</v>
      </c>
      <c r="W151" s="10" t="e">
        <f>_xlfn.XLOOKUP(R151,#REF!,#REF!)</f>
        <v>#REF!</v>
      </c>
    </row>
    <row r="152" spans="2:23" ht="32.5" customHeight="1" x14ac:dyDescent="0.35">
      <c r="B152" s="3">
        <v>153</v>
      </c>
      <c r="C152" s="3" t="s">
        <v>168</v>
      </c>
      <c r="D152" s="12"/>
      <c r="E152" s="12"/>
      <c r="F152" s="5"/>
      <c r="G152" s="5"/>
      <c r="H152" s="5"/>
      <c r="I152" s="5" t="s">
        <v>378</v>
      </c>
      <c r="J152" s="5"/>
      <c r="K152" s="6"/>
      <c r="L152" s="3"/>
      <c r="M152" s="3" t="s">
        <v>57</v>
      </c>
      <c r="N152" s="7">
        <v>45534</v>
      </c>
      <c r="O152" s="7">
        <v>45546</v>
      </c>
      <c r="P152" s="7">
        <v>45560</v>
      </c>
      <c r="Q152" s="7"/>
      <c r="R152" s="7">
        <v>45564</v>
      </c>
      <c r="S152" s="9" t="str" cm="1">
        <f t="array" aca="1" ref="S152" ca="1">IF(O152="","Sem prazo",(_xlfn.IFS((AND(R152="",O152&lt;=$M$1)),"Atrasada",AND(OR(R152="",R152&gt;=$M$1),O152&gt;$M$1),"Em andamento",R152="Cancelada","Cancelada",(OR(R152&lt;&gt;"",R152&lt;&gt;"Cancelada")),"Concluída")))</f>
        <v>Concluída</v>
      </c>
      <c r="T152" s="11"/>
      <c r="U152" s="14" t="s">
        <v>379</v>
      </c>
      <c r="V152" s="10" t="e">
        <f>_xlfn.XLOOKUP(O152,#REF!,#REF!)</f>
        <v>#REF!</v>
      </c>
      <c r="W152" s="10" t="e">
        <f>_xlfn.XLOOKUP(R152,#REF!,#REF!)</f>
        <v>#REF!</v>
      </c>
    </row>
    <row r="153" spans="2:23" ht="32.5" customHeight="1" x14ac:dyDescent="0.35">
      <c r="B153" s="3">
        <v>154</v>
      </c>
      <c r="C153" s="3" t="s">
        <v>168</v>
      </c>
      <c r="D153" s="12"/>
      <c r="E153" s="12"/>
      <c r="F153" s="5"/>
      <c r="G153" s="5"/>
      <c r="H153" s="5"/>
      <c r="I153" s="5" t="s">
        <v>380</v>
      </c>
      <c r="J153" s="5"/>
      <c r="K153" s="6"/>
      <c r="L153" s="3"/>
      <c r="M153" s="3" t="s">
        <v>381</v>
      </c>
      <c r="N153" s="7">
        <v>45534</v>
      </c>
      <c r="O153" s="7">
        <v>45545</v>
      </c>
      <c r="P153" s="7"/>
      <c r="Q153" s="7"/>
      <c r="R153" s="7">
        <v>45555</v>
      </c>
      <c r="S153" s="9" t="str" cm="1">
        <f t="array" aca="1" ref="S153" ca="1">IF(O153="","Sem prazo",(_xlfn.IFS((AND(R153="",O153&lt;=$M$1)),"Atrasada",AND(OR(R153="",R153&gt;=$M$1),O153&gt;$M$1),"Em andamento",R153="Cancelada","Cancelada",(OR(R153&lt;&gt;"",R153&lt;&gt;"Cancelada")),"Concluída")))</f>
        <v>Concluída</v>
      </c>
      <c r="T153" s="11"/>
      <c r="U153" s="14"/>
      <c r="V153" s="10" t="e">
        <f>_xlfn.XLOOKUP(O153,#REF!,#REF!)</f>
        <v>#REF!</v>
      </c>
      <c r="W153" s="10" t="e">
        <f>_xlfn.XLOOKUP(R153,#REF!,#REF!)</f>
        <v>#REF!</v>
      </c>
    </row>
    <row r="154" spans="2:23" ht="32.5" customHeight="1" x14ac:dyDescent="0.35">
      <c r="B154" s="3">
        <v>155</v>
      </c>
      <c r="C154" s="3" t="s">
        <v>168</v>
      </c>
      <c r="D154" s="12"/>
      <c r="E154" s="12"/>
      <c r="F154" s="5"/>
      <c r="G154" s="5"/>
      <c r="H154" s="5"/>
      <c r="I154" s="5" t="s">
        <v>382</v>
      </c>
      <c r="J154" s="5"/>
      <c r="K154" s="6"/>
      <c r="L154" s="3"/>
      <c r="M154" s="3" t="s">
        <v>182</v>
      </c>
      <c r="N154" s="7">
        <v>45534</v>
      </c>
      <c r="O154" s="7">
        <v>45565</v>
      </c>
      <c r="P154" s="7">
        <v>45580</v>
      </c>
      <c r="Q154" s="7"/>
      <c r="R154" s="7">
        <v>45650</v>
      </c>
      <c r="S154" s="9" t="str" cm="1">
        <f t="array" aca="1" ref="S154" ca="1">IF(O154="","Sem prazo",(_xlfn.IFS((AND(R154="",O154&lt;=$M$1)),"Atrasada",AND(OR(R154="",R154&gt;=$M$1),O154&gt;$M$1),"Em andamento",R154="Cancelada","Cancelada",(OR(R154&lt;&gt;"",R154&lt;&gt;"Cancelada")),"Concluída")))</f>
        <v>Concluída</v>
      </c>
      <c r="T154" s="11"/>
      <c r="U154" s="14" t="s">
        <v>383</v>
      </c>
      <c r="V154" s="10" t="e">
        <f>_xlfn.XLOOKUP(O154,#REF!,#REF!)</f>
        <v>#REF!</v>
      </c>
      <c r="W154" s="10"/>
    </row>
    <row r="155" spans="2:23" ht="32.5" customHeight="1" x14ac:dyDescent="0.35">
      <c r="B155" s="3">
        <v>156</v>
      </c>
      <c r="C155" s="3" t="s">
        <v>168</v>
      </c>
      <c r="D155" s="12" t="s">
        <v>134</v>
      </c>
      <c r="E155" s="12" t="s">
        <v>384</v>
      </c>
      <c r="F155" s="5" t="s">
        <v>385</v>
      </c>
      <c r="G155" s="5" t="s">
        <v>386</v>
      </c>
      <c r="H155" s="5" t="s">
        <v>45</v>
      </c>
      <c r="I155" s="5" t="s">
        <v>387</v>
      </c>
      <c r="J155" s="5"/>
      <c r="K155" s="6"/>
      <c r="L155" s="3"/>
      <c r="M155" s="3" t="s">
        <v>381</v>
      </c>
      <c r="N155" s="7">
        <v>45541</v>
      </c>
      <c r="O155" s="7">
        <v>45565</v>
      </c>
      <c r="P155" s="7">
        <v>45575</v>
      </c>
      <c r="Q155" s="7"/>
      <c r="R155" s="7">
        <v>45593</v>
      </c>
      <c r="S155" s="9" t="str" cm="1">
        <f t="array" aca="1" ref="S155" ca="1">IF(O155="","Sem prazo",(_xlfn.IFS((AND(R155="",O155&lt;=$M$1)),"Atrasada",AND(OR(R155="",R155&gt;=$M$1),O155&gt;$M$1),"Em andamento",R155="Cancelada","Cancelada",(OR(R155&lt;&gt;"",R155&lt;&gt;"Cancelada")),"Concluída")))</f>
        <v>Concluída</v>
      </c>
      <c r="T155" s="11"/>
      <c r="U155" s="14" t="s">
        <v>388</v>
      </c>
      <c r="V155" s="10" t="e">
        <f>_xlfn.XLOOKUP(O155,#REF!,#REF!)</f>
        <v>#REF!</v>
      </c>
      <c r="W155" s="10" t="e">
        <f>_xlfn.XLOOKUP(R155,#REF!,#REF!)</f>
        <v>#REF!</v>
      </c>
    </row>
    <row r="156" spans="2:23" ht="32.5" customHeight="1" x14ac:dyDescent="0.35">
      <c r="B156" s="3">
        <v>157</v>
      </c>
      <c r="C156" s="3" t="s">
        <v>168</v>
      </c>
      <c r="D156" s="12" t="s">
        <v>134</v>
      </c>
      <c r="E156" s="12" t="s">
        <v>384</v>
      </c>
      <c r="F156" s="5" t="s">
        <v>385</v>
      </c>
      <c r="G156" s="5" t="s">
        <v>386</v>
      </c>
      <c r="H156" s="5" t="s">
        <v>45</v>
      </c>
      <c r="I156" s="5" t="s">
        <v>389</v>
      </c>
      <c r="J156" s="5"/>
      <c r="K156" s="6"/>
      <c r="L156" s="3"/>
      <c r="M156" s="3" t="s">
        <v>57</v>
      </c>
      <c r="N156" s="7">
        <v>45541</v>
      </c>
      <c r="O156" s="7">
        <v>45611</v>
      </c>
      <c r="P156" s="7"/>
      <c r="Q156" s="7"/>
      <c r="R156" s="7">
        <v>45611</v>
      </c>
      <c r="S156" s="9" t="str" cm="1">
        <f t="array" aca="1" ref="S156" ca="1">IF(O156="","Sem prazo",(_xlfn.IFS((AND(R156="",O156&lt;=$M$1)),"Atrasada",AND(OR(R156="",R156&gt;=$M$1),O156&gt;$M$1),"Em andamento",R156="Cancelada","Cancelada",(OR(R156&lt;&gt;"",R156&lt;&gt;"Cancelada")),"Concluída")))</f>
        <v>Concluída</v>
      </c>
      <c r="T156" s="11"/>
      <c r="U156" s="14"/>
      <c r="V156" s="10" t="e">
        <f>_xlfn.XLOOKUP(O156,#REF!,#REF!)</f>
        <v>#REF!</v>
      </c>
      <c r="W156" s="10" t="e">
        <f>_xlfn.XLOOKUP(R156,#REF!,#REF!)</f>
        <v>#REF!</v>
      </c>
    </row>
    <row r="157" spans="2:23" ht="32.5" customHeight="1" x14ac:dyDescent="0.35">
      <c r="B157" s="3">
        <v>158</v>
      </c>
      <c r="C157" s="3" t="s">
        <v>161</v>
      </c>
      <c r="D157" s="12" t="s">
        <v>231</v>
      </c>
      <c r="E157" s="12" t="s">
        <v>232</v>
      </c>
      <c r="F157" s="5" t="s">
        <v>185</v>
      </c>
      <c r="G157" s="5" t="s">
        <v>233</v>
      </c>
      <c r="H157" s="5" t="s">
        <v>45</v>
      </c>
      <c r="I157" s="5" t="s">
        <v>390</v>
      </c>
      <c r="J157" s="6"/>
      <c r="K157" s="3"/>
      <c r="L157" s="7">
        <v>45316</v>
      </c>
      <c r="M157" s="7" t="s">
        <v>57</v>
      </c>
      <c r="N157" s="7">
        <v>45429</v>
      </c>
      <c r="O157" s="7">
        <v>45439</v>
      </c>
      <c r="P157" s="7"/>
      <c r="Q157" s="7"/>
      <c r="R157" s="7">
        <v>45442</v>
      </c>
      <c r="S157" s="9" t="str" cm="1">
        <f t="array" aca="1" ref="S157" ca="1">IF(O157="","Sem prazo",(_xlfn.IFS((AND(R157="",O157&lt;=$M$1)),"Atrasada",AND(OR(R157="",R157&gt;=$M$1),O157&gt;$M$1),"Em andamento",R157="Cancelada","Cancelada",(OR(R157&lt;&gt;"",R157&lt;&gt;"Cancelada")),"Concluída")))</f>
        <v>Concluída</v>
      </c>
      <c r="T157" s="11"/>
      <c r="U157" s="14" t="s">
        <v>391</v>
      </c>
      <c r="V157" s="10" t="e">
        <f>_xlfn.XLOOKUP(O157,#REF!,#REF!)</f>
        <v>#REF!</v>
      </c>
      <c r="W157" s="10" t="e">
        <f>_xlfn.XLOOKUP(R157,#REF!,#REF!)</f>
        <v>#REF!</v>
      </c>
    </row>
    <row r="158" spans="2:23" ht="32.5" customHeight="1" x14ac:dyDescent="0.35">
      <c r="B158" s="3">
        <v>159</v>
      </c>
      <c r="C158" s="3" t="s">
        <v>161</v>
      </c>
      <c r="D158" s="12" t="s">
        <v>231</v>
      </c>
      <c r="E158" s="12" t="s">
        <v>232</v>
      </c>
      <c r="F158" s="5" t="s">
        <v>185</v>
      </c>
      <c r="G158" s="5" t="s">
        <v>233</v>
      </c>
      <c r="H158" s="5" t="s">
        <v>45</v>
      </c>
      <c r="I158" s="5" t="s">
        <v>392</v>
      </c>
      <c r="J158" s="3"/>
      <c r="K158" s="7"/>
      <c r="L158" s="7">
        <v>45429</v>
      </c>
      <c r="M158" s="3" t="s">
        <v>182</v>
      </c>
      <c r="N158" s="7">
        <v>45443</v>
      </c>
      <c r="O158" s="7">
        <v>45456</v>
      </c>
      <c r="P158" s="7"/>
      <c r="Q158" s="7"/>
      <c r="R158" s="7">
        <v>45456</v>
      </c>
      <c r="S158" s="9" t="str" cm="1">
        <f t="array" aca="1" ref="S158" ca="1">IF(O158="","Sem prazo",(_xlfn.IFS((AND(R158="",O158&lt;=$M$1)),"Atrasada",AND(OR(R158="",R158&gt;=$M$1),O158&gt;$M$1),"Em andamento",R158="Cancelada","Cancelada",(OR(R158&lt;&gt;"",R158&lt;&gt;"Cancelada")),"Concluída")))</f>
        <v>Concluída</v>
      </c>
      <c r="T158" s="11"/>
      <c r="U158" s="14"/>
      <c r="V158" s="10" t="e">
        <f>_xlfn.XLOOKUP(O158,#REF!,#REF!)</f>
        <v>#REF!</v>
      </c>
      <c r="W158" s="10" t="e">
        <f>_xlfn.XLOOKUP(R158,#REF!,#REF!)</f>
        <v>#REF!</v>
      </c>
    </row>
    <row r="159" spans="2:23" ht="32.5" customHeight="1" x14ac:dyDescent="0.35">
      <c r="B159" s="3">
        <v>160</v>
      </c>
      <c r="C159" s="3" t="s">
        <v>168</v>
      </c>
      <c r="D159" s="12" t="s">
        <v>393</v>
      </c>
      <c r="E159" s="12" t="s">
        <v>394</v>
      </c>
      <c r="F159" s="5" t="s">
        <v>395</v>
      </c>
      <c r="G159" s="5" t="s">
        <v>396</v>
      </c>
      <c r="H159" s="5" t="s">
        <v>45</v>
      </c>
      <c r="I159" s="5" t="s">
        <v>397</v>
      </c>
      <c r="J159" s="5"/>
      <c r="K159" s="6"/>
      <c r="L159" s="3"/>
      <c r="M159" s="3" t="s">
        <v>362</v>
      </c>
      <c r="N159" s="7">
        <v>45483</v>
      </c>
      <c r="O159" s="7">
        <v>45519</v>
      </c>
      <c r="P159" s="7">
        <v>45529</v>
      </c>
      <c r="Q159" s="7"/>
      <c r="R159" s="7">
        <v>45525</v>
      </c>
      <c r="S159" s="9" t="str" cm="1">
        <f t="array" aca="1" ref="S159" ca="1">IF(O159="","Sem prazo",(_xlfn.IFS((AND(R159="",O159&lt;=$M$1)),"Atrasada",AND(OR(R159="",R159&gt;=$M$1),O159&gt;$M$1),"Em andamento",R159="Cancelada","Cancelada",(OR(R159&lt;&gt;"",R159&lt;&gt;"Cancelada")),"Concluída")))</f>
        <v>Concluída</v>
      </c>
      <c r="T159" s="11"/>
      <c r="U159" s="14"/>
      <c r="V159" s="10" t="e">
        <f>_xlfn.XLOOKUP(O159,#REF!,#REF!)</f>
        <v>#REF!</v>
      </c>
      <c r="W159" s="10" t="e">
        <f>_xlfn.XLOOKUP(R159,#REF!,#REF!)</f>
        <v>#REF!</v>
      </c>
    </row>
    <row r="160" spans="2:23" ht="32.5" customHeight="1" x14ac:dyDescent="0.35">
      <c r="B160" s="3">
        <v>161</v>
      </c>
      <c r="C160" s="3" t="s">
        <v>168</v>
      </c>
      <c r="D160" s="12" t="s">
        <v>393</v>
      </c>
      <c r="E160" s="12" t="s">
        <v>394</v>
      </c>
      <c r="F160" s="5" t="s">
        <v>395</v>
      </c>
      <c r="G160" s="5" t="s">
        <v>396</v>
      </c>
      <c r="H160" s="5" t="s">
        <v>45</v>
      </c>
      <c r="I160" s="5" t="s">
        <v>398</v>
      </c>
      <c r="J160" s="5"/>
      <c r="K160" s="6"/>
      <c r="L160" s="3"/>
      <c r="M160" s="3" t="s">
        <v>362</v>
      </c>
      <c r="N160" s="7">
        <v>45483</v>
      </c>
      <c r="O160" s="7">
        <v>45488</v>
      </c>
      <c r="P160" s="7"/>
      <c r="Q160" s="7"/>
      <c r="R160" s="7">
        <v>45488</v>
      </c>
      <c r="S160" s="9" t="str" cm="1">
        <f t="array" aca="1" ref="S160" ca="1">IF(O160="","Sem prazo",(_xlfn.IFS((AND(R160="",O160&lt;=$M$1)),"Atrasada",AND(OR(R160="",R160&gt;=$M$1),O160&gt;$M$1),"Em andamento",R160="Cancelada","Cancelada",(OR(R160&lt;&gt;"",R160&lt;&gt;"Cancelada")),"Concluída")))</f>
        <v>Concluída</v>
      </c>
      <c r="T160" s="11"/>
      <c r="U160" s="14"/>
      <c r="V160" s="10" t="e">
        <f>_xlfn.XLOOKUP(O160,#REF!,#REF!)</f>
        <v>#REF!</v>
      </c>
      <c r="W160" s="10" t="e">
        <f>_xlfn.XLOOKUP(R160,#REF!,#REF!)</f>
        <v>#REF!</v>
      </c>
    </row>
    <row r="161" spans="2:23" ht="32.5" customHeight="1" x14ac:dyDescent="0.35">
      <c r="B161" s="3">
        <v>162</v>
      </c>
      <c r="C161" s="3"/>
      <c r="D161" s="12"/>
      <c r="E161" s="12"/>
      <c r="F161" s="5"/>
      <c r="G161" s="5"/>
      <c r="H161" s="5"/>
      <c r="I161" s="5" t="s">
        <v>399</v>
      </c>
      <c r="J161" s="5"/>
      <c r="K161" s="6"/>
      <c r="L161" s="3"/>
      <c r="M161" s="3" t="s">
        <v>400</v>
      </c>
      <c r="N161" s="7">
        <v>45590</v>
      </c>
      <c r="O161" s="7">
        <v>45598</v>
      </c>
      <c r="P161" s="7">
        <v>45609</v>
      </c>
      <c r="Q161" s="7"/>
      <c r="R161" s="7">
        <v>45636</v>
      </c>
      <c r="S161" s="9" t="str" cm="1">
        <f t="array" aca="1" ref="S161" ca="1">IF(O161="","Sem prazo",(_xlfn.IFS((AND(R161="",O161&lt;=$M$1)),"Atrasada",AND(OR(R161="",R161&gt;=$M$1),O161&gt;$M$1),"Em andamento",R161="Cancelada","Cancelada",(OR(R161&lt;&gt;"",R161&lt;&gt;"Cancelada")),"Concluída")))</f>
        <v>Concluída</v>
      </c>
      <c r="T161" s="11"/>
      <c r="U161" s="14" t="s">
        <v>401</v>
      </c>
      <c r="V161" s="10" t="e">
        <f>_xlfn.XLOOKUP(O161,#REF!,#REF!)</f>
        <v>#REF!</v>
      </c>
      <c r="W161" s="10"/>
    </row>
    <row r="162" spans="2:23" ht="32.5" customHeight="1" x14ac:dyDescent="0.35">
      <c r="B162" s="3">
        <v>163</v>
      </c>
      <c r="C162" s="3"/>
      <c r="D162" s="12"/>
      <c r="E162" s="12"/>
      <c r="F162" s="5"/>
      <c r="G162" s="5"/>
      <c r="H162" s="5"/>
      <c r="I162" s="5" t="s">
        <v>402</v>
      </c>
      <c r="J162" s="5"/>
      <c r="K162" s="6"/>
      <c r="L162" s="3"/>
      <c r="M162" s="3" t="s">
        <v>400</v>
      </c>
      <c r="N162" s="7">
        <v>45590</v>
      </c>
      <c r="O162" s="7">
        <v>45593</v>
      </c>
      <c r="P162" s="7"/>
      <c r="Q162" s="7"/>
      <c r="R162" s="7">
        <v>45593</v>
      </c>
      <c r="S162" s="9" t="str" cm="1">
        <f t="array" aca="1" ref="S162" ca="1">IF(O162="","Sem prazo",(_xlfn.IFS((AND(R162="",O162&lt;=$M$1)),"Atrasada",AND(OR(R162="",R162&gt;=$M$1),O162&gt;$M$1),"Em andamento",R162="Cancelada","Cancelada",(OR(R162&lt;&gt;"",R162&lt;&gt;"Cancelada")),"Concluída")))</f>
        <v>Concluída</v>
      </c>
      <c r="T162" s="11"/>
      <c r="U162" s="14"/>
      <c r="V162" s="10" t="e">
        <f>_xlfn.XLOOKUP(O162,#REF!,#REF!)</f>
        <v>#REF!</v>
      </c>
      <c r="W162" s="10" t="e">
        <f>_xlfn.XLOOKUP(R162,#REF!,#REF!)</f>
        <v>#REF!</v>
      </c>
    </row>
    <row r="163" spans="2:23" ht="32.5" customHeight="1" x14ac:dyDescent="0.35">
      <c r="B163" s="3">
        <v>164</v>
      </c>
      <c r="C163" s="3"/>
      <c r="D163" s="12"/>
      <c r="E163" s="12"/>
      <c r="F163" s="5"/>
      <c r="G163" s="5"/>
      <c r="H163" s="5"/>
      <c r="I163" s="5" t="s">
        <v>403</v>
      </c>
      <c r="J163" s="5"/>
      <c r="K163" s="6"/>
      <c r="L163" s="3"/>
      <c r="M163" s="3" t="s">
        <v>400</v>
      </c>
      <c r="N163" s="7">
        <v>45590</v>
      </c>
      <c r="O163" s="7">
        <v>45593</v>
      </c>
      <c r="P163" s="7"/>
      <c r="Q163" s="7"/>
      <c r="R163" s="7">
        <v>45593</v>
      </c>
      <c r="S163" s="9" t="str" cm="1">
        <f t="array" aca="1" ref="S163" ca="1">IF(O163="","Sem prazo",(_xlfn.IFS((AND(R163="",O163&lt;=$M$1)),"Atrasada",AND(OR(R163="",R163&gt;=$M$1),O163&gt;$M$1),"Em andamento",R163="Cancelada","Cancelada",(OR(R163&lt;&gt;"",R163&lt;&gt;"Cancelada")),"Concluída")))</f>
        <v>Concluída</v>
      </c>
      <c r="T163" s="11"/>
      <c r="U163" s="14"/>
      <c r="V163" s="10" t="e">
        <f>_xlfn.XLOOKUP(O163,#REF!,#REF!)</f>
        <v>#REF!</v>
      </c>
      <c r="W163" s="10" t="e">
        <f>_xlfn.XLOOKUP(R163,#REF!,#REF!)</f>
        <v>#REF!</v>
      </c>
    </row>
    <row r="164" spans="2:23" ht="32.5" customHeight="1" x14ac:dyDescent="0.35">
      <c r="B164" s="3">
        <v>165</v>
      </c>
      <c r="C164" s="3"/>
      <c r="D164" s="12"/>
      <c r="E164" s="12"/>
      <c r="F164" s="5"/>
      <c r="G164" s="5"/>
      <c r="H164" s="5"/>
      <c r="I164" s="5" t="s">
        <v>404</v>
      </c>
      <c r="J164" s="5"/>
      <c r="K164" s="6"/>
      <c r="L164" s="3"/>
      <c r="M164" s="3" t="s">
        <v>182</v>
      </c>
      <c r="N164" s="7">
        <v>45597</v>
      </c>
      <c r="O164" s="7">
        <v>45600</v>
      </c>
      <c r="P164" s="7"/>
      <c r="Q164" s="7"/>
      <c r="R164" s="7">
        <v>45614</v>
      </c>
      <c r="S164" s="9" t="str" cm="1">
        <f t="array" aca="1" ref="S164" ca="1">IF(O164="","Sem prazo",(_xlfn.IFS((AND(R164="",O164&lt;=$M$1)),"Atrasada",AND(OR(R164="",R164&gt;=$M$1),O164&gt;$M$1),"Em andamento",R164="Cancelada","Cancelada",(OR(R164&lt;&gt;"",R164&lt;&gt;"Cancelada")),"Concluída")))</f>
        <v>Concluída</v>
      </c>
      <c r="T164" s="11"/>
      <c r="U164" s="14"/>
      <c r="V164" s="10" t="e">
        <f>_xlfn.XLOOKUP(O164,#REF!,#REF!)</f>
        <v>#REF!</v>
      </c>
      <c r="W164" s="10" t="e">
        <f>_xlfn.XLOOKUP(R164,#REF!,#REF!)</f>
        <v>#REF!</v>
      </c>
    </row>
    <row r="165" spans="2:23" ht="32.5" customHeight="1" x14ac:dyDescent="0.35">
      <c r="B165" s="3">
        <v>166</v>
      </c>
      <c r="C165" s="3"/>
      <c r="D165" s="12"/>
      <c r="E165" s="12"/>
      <c r="F165" s="5"/>
      <c r="G165" s="5"/>
      <c r="H165" s="5"/>
      <c r="I165" s="5" t="s">
        <v>405</v>
      </c>
      <c r="J165" s="5"/>
      <c r="K165" s="6"/>
      <c r="L165" s="3"/>
      <c r="M165" s="3" t="s">
        <v>291</v>
      </c>
      <c r="N165" s="7">
        <v>45625</v>
      </c>
      <c r="O165" s="7">
        <v>45630</v>
      </c>
      <c r="P165" s="7"/>
      <c r="Q165" s="7"/>
      <c r="R165" s="7">
        <v>45637</v>
      </c>
      <c r="S165" s="9" t="str" cm="1">
        <f t="array" aca="1" ref="S165" ca="1">IF(O165="","Sem prazo",(_xlfn.IFS((AND(R165="",O165&lt;=$M$1)),"Atrasada",AND(OR(R165="",R165&gt;=$M$1),O165&gt;$M$1),"Em andamento",R165="Cancelada","Cancelada",(OR(R165&lt;&gt;"",R165&lt;&gt;"Cancelada")),"Concluída")))</f>
        <v>Concluída</v>
      </c>
      <c r="T165" s="11"/>
      <c r="U165" s="14"/>
      <c r="V165" s="10" t="e">
        <f>_xlfn.XLOOKUP(O165,#REF!,#REF!)</f>
        <v>#REF!</v>
      </c>
      <c r="W165" s="10"/>
    </row>
    <row r="166" spans="2:23" ht="32.5" customHeight="1" x14ac:dyDescent="0.35">
      <c r="B166" s="3">
        <v>167</v>
      </c>
      <c r="C166" s="3"/>
      <c r="D166" s="12"/>
      <c r="E166" s="12"/>
      <c r="F166" s="5"/>
      <c r="G166" s="5"/>
      <c r="H166" s="5"/>
      <c r="I166" s="5" t="s">
        <v>406</v>
      </c>
      <c r="J166" s="5"/>
      <c r="K166" s="6"/>
      <c r="L166" s="3"/>
      <c r="M166" s="3" t="s">
        <v>291</v>
      </c>
      <c r="N166" s="7">
        <v>45624</v>
      </c>
      <c r="O166" s="7">
        <v>45636</v>
      </c>
      <c r="P166" s="7"/>
      <c r="Q166" s="7"/>
      <c r="R166" s="7">
        <v>45652</v>
      </c>
      <c r="S166" s="9" t="str" cm="1">
        <f t="array" aca="1" ref="S166" ca="1">IF(O166="","Sem prazo",(_xlfn.IFS((AND(R166="",O166&lt;=$M$1)),"Atrasada",AND(OR(R166="",R166&gt;=$M$1),O166&gt;$M$1),"Em andamento",R166="Cancelada","Cancelada",(OR(R166&lt;&gt;"",R166&lt;&gt;"Cancelada")),"Concluída")))</f>
        <v>Concluída</v>
      </c>
      <c r="T166" s="11"/>
      <c r="U166" s="14" t="s">
        <v>407</v>
      </c>
      <c r="V166" s="10" t="e">
        <f>_xlfn.XLOOKUP(O166,#REF!,#REF!)</f>
        <v>#REF!</v>
      </c>
      <c r="W166" s="10"/>
    </row>
    <row r="167" spans="2:23" ht="32.5" customHeight="1" x14ac:dyDescent="0.35">
      <c r="B167" s="3">
        <v>168</v>
      </c>
      <c r="C167" s="3"/>
      <c r="D167" s="12"/>
      <c r="E167" s="12"/>
      <c r="F167" s="5"/>
      <c r="G167" s="5"/>
      <c r="H167" s="5"/>
      <c r="I167" s="5" t="s">
        <v>408</v>
      </c>
      <c r="J167" s="5"/>
      <c r="K167" s="6"/>
      <c r="L167" s="3"/>
      <c r="M167" s="3" t="s">
        <v>409</v>
      </c>
      <c r="N167" s="7">
        <v>45624</v>
      </c>
      <c r="O167" s="7">
        <v>45636</v>
      </c>
      <c r="P167" s="7"/>
      <c r="Q167" s="7"/>
      <c r="R167" s="7">
        <v>45636</v>
      </c>
      <c r="S167" s="9" t="str" cm="1">
        <f t="array" aca="1" ref="S167" ca="1">IF(O167="","Sem prazo",(_xlfn.IFS((AND(R167="",O167&lt;=$M$1)),"Atrasada",AND(OR(R167="",R167&gt;=$M$1),O167&gt;$M$1),"Em andamento",R167="Cancelada","Cancelada",(OR(R167&lt;&gt;"",R167&lt;&gt;"Cancelada")),"Concluída")))</f>
        <v>Concluída</v>
      </c>
      <c r="T167" s="11"/>
      <c r="U167" s="14"/>
      <c r="V167" s="10" t="e">
        <f>_xlfn.XLOOKUP(O167,#REF!,#REF!)</f>
        <v>#REF!</v>
      </c>
      <c r="W167" s="10"/>
    </row>
    <row r="168" spans="2:23" ht="32.5" customHeight="1" x14ac:dyDescent="0.35">
      <c r="B168" s="3">
        <v>169</v>
      </c>
      <c r="C168" s="3"/>
      <c r="D168" s="12"/>
      <c r="E168" s="12"/>
      <c r="F168" s="5"/>
      <c r="G168" s="5"/>
      <c r="H168" s="5"/>
      <c r="I168" s="5" t="s">
        <v>410</v>
      </c>
      <c r="J168" s="5"/>
      <c r="K168" s="6"/>
      <c r="L168" s="3"/>
      <c r="M168" s="3" t="s">
        <v>182</v>
      </c>
      <c r="N168" s="7">
        <v>45624</v>
      </c>
      <c r="O168" s="7">
        <v>45628</v>
      </c>
      <c r="P168" s="7"/>
      <c r="Q168" s="7"/>
      <c r="R168" s="7">
        <v>45628</v>
      </c>
      <c r="S168" s="9" t="str" cm="1">
        <f t="array" aca="1" ref="S168" ca="1">IF(O168="","Sem prazo",(_xlfn.IFS((AND(R168="",O168&lt;=$M$1)),"Atrasada",AND(OR(R168="",R168&gt;=$M$1),O168&gt;$M$1),"Em andamento",R168="Cancelada","Cancelada",(OR(R168&lt;&gt;"",R168&lt;&gt;"Cancelada")),"Concluída")))</f>
        <v>Concluída</v>
      </c>
      <c r="T168" s="11"/>
      <c r="U168" s="14"/>
      <c r="V168" s="10" t="e">
        <f>_xlfn.XLOOKUP(O168,#REF!,#REF!)</f>
        <v>#REF!</v>
      </c>
      <c r="W168" s="10" t="e">
        <f>_xlfn.XLOOKUP(R168,#REF!,#REF!)</f>
        <v>#REF!</v>
      </c>
    </row>
    <row r="169" spans="2:23" ht="32.5" customHeight="1" x14ac:dyDescent="0.35">
      <c r="B169" s="3">
        <v>170</v>
      </c>
      <c r="C169" s="3"/>
      <c r="D169" s="12"/>
      <c r="E169" s="12"/>
      <c r="F169" s="5"/>
      <c r="G169" s="5"/>
      <c r="H169" s="5"/>
      <c r="I169" s="5" t="s">
        <v>411</v>
      </c>
      <c r="J169" s="5"/>
      <c r="K169" s="6"/>
      <c r="L169" s="3"/>
      <c r="M169" s="3" t="s">
        <v>57</v>
      </c>
      <c r="N169" s="7">
        <v>45632</v>
      </c>
      <c r="O169" s="7">
        <v>45636</v>
      </c>
      <c r="P169" s="7"/>
      <c r="Q169" s="7"/>
      <c r="R169" s="7">
        <v>45636</v>
      </c>
      <c r="S169" s="9" t="str" cm="1">
        <f t="array" aca="1" ref="S169" ca="1">IF(O169="","Sem prazo",(_xlfn.IFS((AND(R169="",O169&lt;=$M$1)),"Atrasada",AND(OR(R169="",R169&gt;=$M$1),O169&gt;$M$1),"Em andamento",R169="Cancelada","Cancelada",(OR(R169&lt;&gt;"",R169&lt;&gt;"Cancelada")),"Concluída")))</f>
        <v>Concluída</v>
      </c>
      <c r="T169" s="11"/>
      <c r="U169" s="14" t="s">
        <v>412</v>
      </c>
      <c r="V169" s="10"/>
      <c r="W169" s="10"/>
    </row>
    <row r="170" spans="2:23" ht="32.5" customHeight="1" x14ac:dyDescent="0.35">
      <c r="B170" s="3">
        <v>171</v>
      </c>
      <c r="C170" s="3"/>
      <c r="D170" s="12"/>
      <c r="E170" s="12"/>
      <c r="F170" s="5"/>
      <c r="G170" s="5"/>
      <c r="H170" s="5"/>
      <c r="I170" s="5" t="s">
        <v>413</v>
      </c>
      <c r="J170" s="5"/>
      <c r="K170" s="6"/>
      <c r="L170" s="3"/>
      <c r="M170" s="3" t="s">
        <v>414</v>
      </c>
      <c r="N170" s="7">
        <v>45646</v>
      </c>
      <c r="O170" s="7">
        <v>45652</v>
      </c>
      <c r="P170" s="7"/>
      <c r="Q170" s="7"/>
      <c r="R170" s="7">
        <v>45660</v>
      </c>
      <c r="S170" s="9" t="str" cm="1">
        <f t="array" aca="1" ref="S170" ca="1">IF(O170="","Sem prazo",(_xlfn.IFS((AND(R170="",O170&lt;=$M$1)),"Atrasada",AND(OR(R170="",R170&gt;=$M$1),O170&gt;$M$1),"Em andamento",R170="Cancelada","Cancelada",(OR(R170&lt;&gt;"",R170&lt;&gt;"Cancelada")),"Concluída")))</f>
        <v>Concluída</v>
      </c>
      <c r="T170" s="11"/>
      <c r="U170" s="14"/>
      <c r="V170" s="10"/>
      <c r="W170" s="10"/>
    </row>
    <row r="171" spans="2:23" ht="32.5" customHeight="1" x14ac:dyDescent="0.35">
      <c r="B171" s="3">
        <v>172</v>
      </c>
      <c r="C171" s="3"/>
      <c r="D171" s="12"/>
      <c r="E171" s="12"/>
      <c r="F171" s="5"/>
      <c r="G171" s="5"/>
      <c r="H171" s="5"/>
      <c r="I171" s="5" t="s">
        <v>415</v>
      </c>
      <c r="J171" s="5"/>
      <c r="K171" s="6"/>
      <c r="L171" s="3"/>
      <c r="M171" s="3" t="s">
        <v>291</v>
      </c>
      <c r="N171" s="7">
        <v>45653</v>
      </c>
      <c r="O171" s="7">
        <v>45672</v>
      </c>
      <c r="P171" s="7"/>
      <c r="Q171" s="7"/>
      <c r="R171" s="7">
        <v>45672</v>
      </c>
      <c r="S171" s="9" t="str" cm="1">
        <f t="array" aca="1" ref="S171" ca="1">IF(O171="","Sem prazo",(_xlfn.IFS((AND(R171="",O171&lt;=$M$1)),"Atrasada",AND(OR(R171="",R171&gt;=$M$1),O171&gt;$M$1),"Em andamento",R171="Cancelada","Cancelada",(OR(R171&lt;&gt;"",R171&lt;&gt;"Cancelada")),"Concluída")))</f>
        <v>Concluída</v>
      </c>
      <c r="T171" s="11"/>
      <c r="U171" s="14"/>
      <c r="V171" s="10"/>
      <c r="W171" s="10"/>
    </row>
    <row r="172" spans="2:23" ht="43" customHeight="1" x14ac:dyDescent="0.35">
      <c r="B172" s="3">
        <v>173</v>
      </c>
      <c r="C172" s="3"/>
      <c r="D172" s="12"/>
      <c r="E172" s="12"/>
      <c r="F172" s="5"/>
      <c r="G172" s="5"/>
      <c r="H172" s="5"/>
      <c r="I172" s="5" t="s">
        <v>416</v>
      </c>
      <c r="J172" s="5"/>
      <c r="K172" s="6"/>
      <c r="L172" s="3"/>
      <c r="M172" s="3" t="s">
        <v>409</v>
      </c>
      <c r="N172" s="7">
        <v>45653</v>
      </c>
      <c r="O172" s="7">
        <v>45703</v>
      </c>
      <c r="P172" s="7"/>
      <c r="Q172" s="7"/>
      <c r="R172" s="7">
        <v>45716</v>
      </c>
      <c r="S172" s="9" t="str" cm="1">
        <f t="array" aca="1" ref="S172" ca="1">IF(O172="","Sem prazo",(_xlfn.IFS((AND(R172="",O172&lt;=$M$1)),"Atrasada",AND(OR(R172="",R172&gt;=$M$1),O172&gt;$M$1),"Em andamento",R172="Cancelada","Cancelada",(OR(R172&lt;&gt;"",R172&lt;&gt;"Cancelada")),"Concluída")))</f>
        <v>Concluída</v>
      </c>
      <c r="T172" s="11"/>
      <c r="U172" s="14" t="s">
        <v>417</v>
      </c>
      <c r="V172" s="10"/>
      <c r="W172" s="10"/>
    </row>
    <row r="173" spans="2:23" ht="32.5" customHeight="1" x14ac:dyDescent="0.35">
      <c r="B173" s="3">
        <v>174</v>
      </c>
      <c r="C173" s="3"/>
      <c r="D173" s="12"/>
      <c r="E173" s="12"/>
      <c r="F173" s="5"/>
      <c r="G173" s="5"/>
      <c r="H173" s="5"/>
      <c r="I173" s="5" t="s">
        <v>418</v>
      </c>
      <c r="J173" s="5"/>
      <c r="K173" s="6"/>
      <c r="L173" s="3"/>
      <c r="M173" s="3" t="s">
        <v>419</v>
      </c>
      <c r="N173" s="7">
        <v>45653</v>
      </c>
      <c r="O173" s="7">
        <v>45663</v>
      </c>
      <c r="P173" s="7"/>
      <c r="Q173" s="7"/>
      <c r="R173" s="7">
        <v>45677</v>
      </c>
      <c r="S173" s="9" t="str" cm="1">
        <f t="array" aca="1" ref="S173" ca="1">IF(O173="","Sem prazo",(_xlfn.IFS((AND(R173="",O173&lt;=$M$1)),"Atrasada",AND(OR(R173="",R173&gt;=$M$1),O173&gt;$M$1),"Em andamento",R173="Cancelada","Cancelada",(OR(R173&lt;&gt;"",R173&lt;&gt;"Cancelada")),"Concluída")))</f>
        <v>Concluída</v>
      </c>
      <c r="T173" s="11"/>
      <c r="U173" s="14"/>
      <c r="V173" s="10"/>
      <c r="W173" s="10"/>
    </row>
    <row r="174" spans="2:23" ht="32.15" customHeight="1" x14ac:dyDescent="0.35">
      <c r="B174" s="3">
        <v>175</v>
      </c>
      <c r="C174" s="3"/>
      <c r="D174" s="12"/>
      <c r="E174" s="12"/>
      <c r="F174" s="5"/>
      <c r="G174" s="5"/>
      <c r="H174" s="5"/>
      <c r="I174" s="5" t="s">
        <v>420</v>
      </c>
      <c r="J174" s="5"/>
      <c r="K174" s="6"/>
      <c r="L174" s="3"/>
      <c r="M174" s="3" t="s">
        <v>297</v>
      </c>
      <c r="N174" s="7">
        <v>45653</v>
      </c>
      <c r="O174" s="7">
        <v>45672</v>
      </c>
      <c r="P174" s="7">
        <v>45823</v>
      </c>
      <c r="Q174" s="7"/>
      <c r="R174" s="7">
        <v>45823</v>
      </c>
      <c r="S174" s="9" t="str" cm="1">
        <f t="array" aca="1" ref="S174" ca="1">IF(O174="","Sem prazo",(_xlfn.IFS((AND(R174="",O174&lt;=$M$1)),"Atrasada",AND(OR(R174="",R174&gt;=$M$1),O174&gt;$M$1),"Em andamento",R174="Cancelada","Cancelada",(OR(R174&lt;&gt;"",R174&lt;&gt;"Cancelada")),"Concluída")))</f>
        <v>Concluída</v>
      </c>
      <c r="T174" s="11"/>
      <c r="U174" s="14" t="s">
        <v>421</v>
      </c>
      <c r="V174" s="10"/>
      <c r="W174" s="10"/>
    </row>
    <row r="175" spans="2:23" ht="32.5" customHeight="1" x14ac:dyDescent="0.35">
      <c r="B175" s="3">
        <v>177</v>
      </c>
      <c r="C175" s="3"/>
      <c r="D175" s="12"/>
      <c r="E175" s="12"/>
      <c r="F175" s="5"/>
      <c r="G175" s="5"/>
      <c r="H175" s="5"/>
      <c r="I175" s="5" t="s">
        <v>422</v>
      </c>
      <c r="J175" s="5"/>
      <c r="K175" s="6"/>
      <c r="L175" s="3"/>
      <c r="M175" s="3" t="s">
        <v>423</v>
      </c>
      <c r="N175" s="7">
        <v>45653</v>
      </c>
      <c r="O175" s="7">
        <v>45687</v>
      </c>
      <c r="P175" s="7"/>
      <c r="Q175" s="7"/>
      <c r="R175" s="7">
        <v>45695</v>
      </c>
      <c r="S175" s="9" t="str" cm="1">
        <f t="array" aca="1" ref="S175" ca="1">IF(O175="","Sem prazo",(_xlfn.IFS((AND(R175="",O175&lt;=$M$1)),"Atrasada",AND(OR(R175="",R175&gt;=$M$1),O175&gt;$M$1),"Em andamento",R175="Cancelada","Cancelada",(OR(R175&lt;&gt;"",R175&lt;&gt;"Cancelada")),"Concluída")))</f>
        <v>Concluída</v>
      </c>
      <c r="T175" s="11"/>
      <c r="U175" s="14"/>
      <c r="V175" s="10"/>
      <c r="W175" s="10"/>
    </row>
    <row r="176" spans="2:23" ht="32.5" customHeight="1" x14ac:dyDescent="0.35">
      <c r="B176" s="3">
        <v>178</v>
      </c>
      <c r="C176" s="3"/>
      <c r="D176" s="12"/>
      <c r="E176" s="12"/>
      <c r="F176" s="5"/>
      <c r="G176" s="5"/>
      <c r="H176" s="5"/>
      <c r="I176" s="5" t="s">
        <v>424</v>
      </c>
      <c r="J176" s="5"/>
      <c r="K176" s="6"/>
      <c r="L176" s="3"/>
      <c r="M176" s="3"/>
      <c r="N176" s="7">
        <v>45653</v>
      </c>
      <c r="O176" s="7">
        <v>45672</v>
      </c>
      <c r="P176" s="7"/>
      <c r="Q176" s="7"/>
      <c r="R176" s="7">
        <v>45662</v>
      </c>
      <c r="S176" s="9" t="str" cm="1">
        <f t="array" aca="1" ref="S176" ca="1">IF(O176="","Sem prazo",(_xlfn.IFS((AND(R176="",O176&lt;=$M$1)),"Atrasada",AND(OR(R176="",R176&gt;=$M$1),O176&gt;$M$1),"Em andamento",R176="Cancelada","Cancelada",(OR(R176&lt;&gt;"",R176&lt;&gt;"Cancelada")),"Concluída")))</f>
        <v>Concluída</v>
      </c>
      <c r="T176" s="11"/>
      <c r="U176" s="14"/>
      <c r="V176" s="10"/>
      <c r="W176" s="10"/>
    </row>
    <row r="177" spans="2:23" ht="32.5" customHeight="1" x14ac:dyDescent="0.35">
      <c r="B177" s="3">
        <v>179</v>
      </c>
      <c r="C177" s="3"/>
      <c r="D177" s="12"/>
      <c r="E177" s="12"/>
      <c r="F177" s="5"/>
      <c r="G177" s="5"/>
      <c r="H177" s="5"/>
      <c r="I177" s="5" t="s">
        <v>425</v>
      </c>
      <c r="J177" s="5"/>
      <c r="K177" s="6"/>
      <c r="L177" s="3"/>
      <c r="M177" s="3"/>
      <c r="N177" s="7">
        <v>45653</v>
      </c>
      <c r="O177" s="7">
        <v>45672</v>
      </c>
      <c r="P177" s="7"/>
      <c r="Q177" s="7"/>
      <c r="R177" s="7">
        <v>45778</v>
      </c>
      <c r="S177" s="9" t="str" cm="1">
        <f t="array" aca="1" ref="S177" ca="1">IF(O177="","Sem prazo",(_xlfn.IFS((AND(R177="",O177&lt;=$M$1)),"Atrasada",AND(OR(R177="",R177&gt;=$M$1),O177&gt;$M$1),"Em andamento",R177="Cancelada","Cancelada",(OR(R177&lt;&gt;"",R177&lt;&gt;"Cancelada")),"Concluída")))</f>
        <v>Concluída</v>
      </c>
      <c r="T177" s="11"/>
      <c r="U177" s="14" t="s">
        <v>426</v>
      </c>
      <c r="V177" s="10"/>
      <c r="W177" s="10"/>
    </row>
    <row r="178" spans="2:23" ht="32.5" customHeight="1" x14ac:dyDescent="0.35">
      <c r="B178" s="3">
        <v>180</v>
      </c>
      <c r="C178" s="3"/>
      <c r="D178" s="12"/>
      <c r="E178" s="12"/>
      <c r="F178" s="5"/>
      <c r="G178" s="5"/>
      <c r="H178" s="5"/>
      <c r="I178" s="5" t="s">
        <v>427</v>
      </c>
      <c r="J178" s="5"/>
      <c r="K178" s="6"/>
      <c r="L178" s="3"/>
      <c r="M178" s="3" t="s">
        <v>428</v>
      </c>
      <c r="N178" s="7">
        <v>45653</v>
      </c>
      <c r="O178" s="7">
        <v>45672</v>
      </c>
      <c r="P178" s="7"/>
      <c r="Q178" s="7"/>
      <c r="R178" s="7">
        <v>45744</v>
      </c>
      <c r="S178" s="9" t="str" cm="1">
        <f t="array" aca="1" ref="S178" ca="1">IF(O178="","Sem prazo",(_xlfn.IFS((AND(R178="",O178&lt;=$M$1)),"Atrasada",AND(OR(R178="",R178&gt;=$M$1),O178&gt;$M$1),"Em andamento",R178="Cancelada","Cancelada",(OR(R178&lt;&gt;"",R178&lt;&gt;"Cancelada")),"Concluída")))</f>
        <v>Concluída</v>
      </c>
      <c r="T178" s="11"/>
      <c r="U178" s="14"/>
      <c r="V178" s="10"/>
      <c r="W178" s="10"/>
    </row>
    <row r="179" spans="2:23" ht="32.5" customHeight="1" x14ac:dyDescent="0.35">
      <c r="B179" s="3">
        <v>181</v>
      </c>
      <c r="C179" s="3"/>
      <c r="D179" s="12"/>
      <c r="E179" s="12"/>
      <c r="F179" s="5"/>
      <c r="G179" s="5"/>
      <c r="H179" s="5"/>
      <c r="I179" s="5" t="s">
        <v>429</v>
      </c>
      <c r="J179" s="5"/>
      <c r="K179" s="6"/>
      <c r="L179" s="3"/>
      <c r="M179" s="3"/>
      <c r="N179" s="7">
        <v>45660</v>
      </c>
      <c r="O179" s="7">
        <v>45667</v>
      </c>
      <c r="P179" s="7"/>
      <c r="Q179" s="7"/>
      <c r="R179" s="7">
        <v>45670</v>
      </c>
      <c r="S179" s="9" t="str" cm="1">
        <f t="array" aca="1" ref="S179" ca="1">IF(O179="","Sem prazo",(_xlfn.IFS((AND(R179="",O179&lt;=$M$1)),"Atrasada",AND(OR(R179="",R179&gt;=$M$1),O179&gt;$M$1),"Em andamento",R179="Cancelada","Cancelada",(OR(R179&lt;&gt;"",R179&lt;&gt;"Cancelada")),"Concluída")))</f>
        <v>Concluída</v>
      </c>
      <c r="T179" s="11"/>
      <c r="U179" s="14"/>
      <c r="V179" s="10"/>
      <c r="W179" s="10"/>
    </row>
    <row r="180" spans="2:23" ht="32.5" customHeight="1" x14ac:dyDescent="0.35">
      <c r="B180" s="3">
        <v>182</v>
      </c>
      <c r="C180" s="3"/>
      <c r="D180" s="12"/>
      <c r="E180" s="12"/>
      <c r="F180" s="5"/>
      <c r="G180" s="5"/>
      <c r="H180" s="5"/>
      <c r="I180" s="5" t="s">
        <v>430</v>
      </c>
      <c r="J180" s="5"/>
      <c r="K180" s="6"/>
      <c r="L180" s="3"/>
      <c r="M180" s="3" t="s">
        <v>182</v>
      </c>
      <c r="N180" s="7">
        <v>45667</v>
      </c>
      <c r="O180" s="7">
        <v>45677</v>
      </c>
      <c r="P180" s="7"/>
      <c r="Q180" s="7"/>
      <c r="R180" s="7">
        <v>45695</v>
      </c>
      <c r="S180" s="9" t="str" cm="1">
        <f t="array" aca="1" ref="S180" ca="1">IF(O180="","Sem prazo",(_xlfn.IFS((AND(R180="",O180&lt;=$M$1)),"Atrasada",AND(OR(R180="",R180&gt;=$M$1),O180&gt;$M$1),"Em andamento",R180="Cancelada","Cancelada",(OR(R180&lt;&gt;"",R180&lt;&gt;"Cancelada")),"Concluída")))</f>
        <v>Concluída</v>
      </c>
      <c r="T180" s="11"/>
      <c r="U180" s="14" t="s">
        <v>431</v>
      </c>
      <c r="V180" s="10"/>
      <c r="W180" s="10"/>
    </row>
    <row r="181" spans="2:23" ht="32.5" customHeight="1" x14ac:dyDescent="0.35">
      <c r="B181" s="3">
        <v>183</v>
      </c>
      <c r="C181" s="3"/>
      <c r="D181" s="12"/>
      <c r="E181" s="12"/>
      <c r="F181" s="5"/>
      <c r="G181" s="5"/>
      <c r="H181" s="5"/>
      <c r="I181" s="5" t="s">
        <v>432</v>
      </c>
      <c r="J181" s="5"/>
      <c r="K181" s="6"/>
      <c r="L181" s="3"/>
      <c r="M181" s="3" t="s">
        <v>291</v>
      </c>
      <c r="N181" s="7">
        <v>45667</v>
      </c>
      <c r="O181" s="7">
        <v>45671</v>
      </c>
      <c r="P181" s="7"/>
      <c r="Q181" s="7"/>
      <c r="R181" s="7">
        <v>45671</v>
      </c>
      <c r="S181" s="9" t="str" cm="1">
        <f t="array" aca="1" ref="S181" ca="1">IF(O181="","Sem prazo",(_xlfn.IFS((AND(R181="",O181&lt;=$M$1)),"Atrasada",AND(OR(R181="",R181&gt;=$M$1),O181&gt;$M$1),"Em andamento",R181="Cancelada","Cancelada",(OR(R181&lt;&gt;"",R181&lt;&gt;"Cancelada")),"Concluída")))</f>
        <v>Concluída</v>
      </c>
      <c r="T181" s="11"/>
      <c r="U181" s="14" t="s">
        <v>433</v>
      </c>
      <c r="V181" s="10"/>
      <c r="W181" s="10"/>
    </row>
    <row r="182" spans="2:23" ht="32.5" customHeight="1" x14ac:dyDescent="0.35">
      <c r="B182" s="3">
        <v>184</v>
      </c>
      <c r="C182" s="3"/>
      <c r="D182" s="12"/>
      <c r="E182" s="12"/>
      <c r="F182" s="5"/>
      <c r="G182" s="5"/>
      <c r="H182" s="5"/>
      <c r="I182" s="5" t="s">
        <v>434</v>
      </c>
      <c r="J182" s="5"/>
      <c r="K182" s="6"/>
      <c r="L182" s="3"/>
      <c r="M182" s="3" t="s">
        <v>291</v>
      </c>
      <c r="N182" s="7">
        <v>45674</v>
      </c>
      <c r="O182" s="7">
        <v>45679</v>
      </c>
      <c r="P182" s="7"/>
      <c r="Q182" s="7"/>
      <c r="R182" s="7">
        <v>45679</v>
      </c>
      <c r="S182" s="9" t="str" cm="1">
        <f t="array" aca="1" ref="S182" ca="1">IF(O182="","Sem prazo",(_xlfn.IFS((AND(R182="",O182&lt;=$M$1)),"Atrasada",AND(OR(R182="",R182&gt;=$M$1),O182&gt;$M$1),"Em andamento",R182="Cancelada","Cancelada",(OR(R182&lt;&gt;"",R182&lt;&gt;"Cancelada")),"Concluída")))</f>
        <v>Concluída</v>
      </c>
      <c r="T182" s="11"/>
      <c r="U182" s="14" t="s">
        <v>435</v>
      </c>
      <c r="V182" s="10"/>
      <c r="W182" s="10"/>
    </row>
    <row r="183" spans="2:23" ht="32.5" customHeight="1" x14ac:dyDescent="0.35">
      <c r="B183" s="3">
        <v>185</v>
      </c>
      <c r="C183" s="3"/>
      <c r="D183" s="12"/>
      <c r="E183" s="12"/>
      <c r="F183" s="5"/>
      <c r="G183" s="5"/>
      <c r="H183" s="5"/>
      <c r="I183" s="5" t="s">
        <v>436</v>
      </c>
      <c r="J183" s="5"/>
      <c r="K183" s="6"/>
      <c r="L183" s="3"/>
      <c r="M183" s="3" t="s">
        <v>291</v>
      </c>
      <c r="N183" s="7">
        <v>45674</v>
      </c>
      <c r="O183" s="7">
        <v>45678</v>
      </c>
      <c r="P183" s="7"/>
      <c r="Q183" s="7"/>
      <c r="R183" s="7">
        <v>45678</v>
      </c>
      <c r="S183" s="9" t="str" cm="1">
        <f t="array" aca="1" ref="S183" ca="1">IF(O183="","Sem prazo",(_xlfn.IFS((AND(R183="",O183&lt;=$M$1)),"Atrasada",AND(OR(R183="",R183&gt;=$M$1),O183&gt;$M$1),"Em andamento",R183="Cancelada","Cancelada",(OR(R183&lt;&gt;"",R183&lt;&gt;"Cancelada")),"Concluída")))</f>
        <v>Concluída</v>
      </c>
      <c r="T183" s="11"/>
      <c r="U183" s="14"/>
      <c r="V183" s="10"/>
      <c r="W183" s="10"/>
    </row>
    <row r="184" spans="2:23" ht="32.5" customHeight="1" x14ac:dyDescent="0.35">
      <c r="B184" s="3">
        <v>186</v>
      </c>
      <c r="C184" s="3"/>
      <c r="D184" s="12"/>
      <c r="E184" s="12"/>
      <c r="F184" s="5"/>
      <c r="G184" s="5"/>
      <c r="H184" s="5"/>
      <c r="I184" s="5" t="s">
        <v>437</v>
      </c>
      <c r="J184" s="5"/>
      <c r="K184" s="6"/>
      <c r="L184" s="3"/>
      <c r="M184" s="3" t="s">
        <v>428</v>
      </c>
      <c r="N184" s="7">
        <v>45688</v>
      </c>
      <c r="O184" s="7">
        <v>45703</v>
      </c>
      <c r="P184" s="7">
        <v>45709</v>
      </c>
      <c r="Q184" s="7"/>
      <c r="R184" s="7">
        <v>45730</v>
      </c>
      <c r="S184" s="9" t="str" cm="1">
        <f t="array" aca="1" ref="S184" ca="1">IF(O184="","Sem prazo",(_xlfn.IFS((AND(R184="",O184&lt;=$M$1)),"Atrasada",AND(OR(R184="",R184&gt;=$M$1),O184&gt;$M$1),"Em andamento",R184="Cancelada","Cancelada",(OR(R184&lt;&gt;"",R184&lt;&gt;"Cancelada")),"Concluída")))</f>
        <v>Concluída</v>
      </c>
      <c r="T184" s="11"/>
      <c r="U184" s="14"/>
      <c r="V184" s="10"/>
      <c r="W184" s="10"/>
    </row>
    <row r="185" spans="2:23" ht="32.5" customHeight="1" x14ac:dyDescent="0.35">
      <c r="B185" s="3">
        <v>187</v>
      </c>
      <c r="C185" s="3"/>
      <c r="D185" s="12"/>
      <c r="E185" s="12"/>
      <c r="F185" s="5"/>
      <c r="G185" s="5"/>
      <c r="H185" s="5"/>
      <c r="I185" s="5" t="s">
        <v>438</v>
      </c>
      <c r="J185" s="5"/>
      <c r="K185" s="6"/>
      <c r="L185" s="3"/>
      <c r="M185" s="3" t="s">
        <v>428</v>
      </c>
      <c r="N185" s="7">
        <v>45688</v>
      </c>
      <c r="O185" s="7">
        <v>45703</v>
      </c>
      <c r="P185" s="7">
        <v>45823</v>
      </c>
      <c r="Q185" s="7"/>
      <c r="R185" s="7">
        <v>45807</v>
      </c>
      <c r="S185" s="9" t="str" cm="1">
        <f t="array" aca="1" ref="S185" ca="1">IF(O185="","Sem prazo",(_xlfn.IFS((AND(R185="",O185&lt;=$M$1)),"Atrasada",AND(OR(R185="",R185&gt;=$M$1),O185&gt;$M$1),"Em andamento",R185="Cancelada","Cancelada",(OR(R185&lt;&gt;"",R185&lt;&gt;"Cancelada")),"Concluída")))</f>
        <v>Concluída</v>
      </c>
      <c r="T185" s="11"/>
      <c r="U185" s="14" t="s">
        <v>439</v>
      </c>
      <c r="V185" s="10"/>
      <c r="W185" s="10"/>
    </row>
    <row r="186" spans="2:23" ht="32.5" customHeight="1" x14ac:dyDescent="0.35">
      <c r="B186" s="3">
        <v>188</v>
      </c>
      <c r="C186" s="3"/>
      <c r="D186" s="12"/>
      <c r="E186" s="12"/>
      <c r="F186" s="5"/>
      <c r="G186" s="5"/>
      <c r="H186" s="5"/>
      <c r="I186" s="5" t="s">
        <v>440</v>
      </c>
      <c r="J186" s="5"/>
      <c r="K186" s="6"/>
      <c r="L186" s="3"/>
      <c r="M186" s="3" t="s">
        <v>428</v>
      </c>
      <c r="N186" s="7">
        <v>45688</v>
      </c>
      <c r="O186" s="7">
        <v>45703</v>
      </c>
      <c r="P186" s="7">
        <v>45709</v>
      </c>
      <c r="Q186" s="7"/>
      <c r="R186" s="7">
        <v>45796</v>
      </c>
      <c r="S186" s="9" t="str" cm="1">
        <f t="array" aca="1" ref="S186" ca="1">IF(O186="","Sem prazo",(_xlfn.IFS((AND(R186="",O186&lt;=$M$1)),"Atrasada",AND(OR(R186="",R186&gt;=$M$1),O186&gt;$M$1),"Em andamento",R186="Cancelada","Cancelada",(OR(R186&lt;&gt;"",R186&lt;&gt;"Cancelada")),"Concluída")))</f>
        <v>Concluída</v>
      </c>
      <c r="T186" s="11"/>
      <c r="U186" s="14" t="s">
        <v>441</v>
      </c>
      <c r="V186" s="10"/>
      <c r="W186" s="10"/>
    </row>
    <row r="187" spans="2:23" ht="32.5" customHeight="1" x14ac:dyDescent="0.35">
      <c r="B187" s="3">
        <v>189</v>
      </c>
      <c r="C187" s="3"/>
      <c r="D187" s="12"/>
      <c r="E187" s="12"/>
      <c r="F187" s="5"/>
      <c r="G187" s="5"/>
      <c r="H187" s="5"/>
      <c r="I187" s="5" t="s">
        <v>442</v>
      </c>
      <c r="J187" s="5"/>
      <c r="K187" s="6"/>
      <c r="L187" s="3"/>
      <c r="M187" s="3" t="s">
        <v>428</v>
      </c>
      <c r="N187" s="7">
        <v>45730</v>
      </c>
      <c r="O187" s="7">
        <v>45762</v>
      </c>
      <c r="P187" s="7">
        <v>45823</v>
      </c>
      <c r="Q187" s="7"/>
      <c r="R187" s="7">
        <v>45845</v>
      </c>
      <c r="S187" s="9" t="str" cm="1">
        <f t="array" aca="1" ref="S187" ca="1">IF(O187="","Sem prazo",(_xlfn.IFS((AND(R187="",O187&lt;=$M$1)),"Atrasada",AND(OR(R187="",R187&gt;=$M$1),O187&gt;$M$1),"Em andamento",R187="Cancelada","Cancelada",(OR(R187&lt;&gt;"",R187&lt;&gt;"Cancelada")),"Concluída")))</f>
        <v>Concluída</v>
      </c>
      <c r="T187" s="11"/>
      <c r="U187" s="14" t="s">
        <v>443</v>
      </c>
      <c r="V187" s="10"/>
      <c r="W187" s="10"/>
    </row>
    <row r="188" spans="2:23" ht="32.5" customHeight="1" x14ac:dyDescent="0.35">
      <c r="B188" s="3">
        <v>190</v>
      </c>
      <c r="C188" s="3"/>
      <c r="D188" s="12"/>
      <c r="E188" s="12"/>
      <c r="F188" s="5"/>
      <c r="G188" s="5"/>
      <c r="H188" s="5"/>
      <c r="I188" s="5" t="s">
        <v>444</v>
      </c>
      <c r="J188" s="5"/>
      <c r="K188" s="6"/>
      <c r="L188" s="3"/>
      <c r="M188" s="3" t="s">
        <v>428</v>
      </c>
      <c r="N188" s="7">
        <v>45730</v>
      </c>
      <c r="O188" s="7">
        <v>45762</v>
      </c>
      <c r="P188" s="7">
        <v>45823</v>
      </c>
      <c r="Q188" s="7"/>
      <c r="R188" s="7">
        <v>45846</v>
      </c>
      <c r="S188" s="9" t="str" cm="1">
        <f t="array" aca="1" ref="S188" ca="1">IF(O188="","Sem prazo",(_xlfn.IFS((AND(R188="",O188&lt;=$M$1)),"Atrasada",AND(OR(R188="",R188&gt;=$M$1),O188&gt;$M$1),"Em andamento",R188="Cancelada","Cancelada",(OR(R188&lt;&gt;"",R188&lt;&gt;"Cancelada")),"Concluída")))</f>
        <v>Concluída</v>
      </c>
      <c r="T188" s="11"/>
      <c r="U188" s="14" t="s">
        <v>445</v>
      </c>
      <c r="V188" s="10"/>
      <c r="W188" s="10"/>
    </row>
    <row r="189" spans="2:23" ht="32.5" customHeight="1" x14ac:dyDescent="0.35">
      <c r="B189" s="3">
        <v>191</v>
      </c>
      <c r="C189" s="3"/>
      <c r="D189" s="12"/>
      <c r="E189" s="12"/>
      <c r="F189" s="5"/>
      <c r="G189" s="5"/>
      <c r="H189" s="5"/>
      <c r="I189" s="5" t="s">
        <v>446</v>
      </c>
      <c r="J189" s="5"/>
      <c r="K189" s="6"/>
      <c r="L189" s="3"/>
      <c r="M189" s="3" t="s">
        <v>428</v>
      </c>
      <c r="N189" s="7">
        <v>45730</v>
      </c>
      <c r="O189" s="7">
        <v>45762</v>
      </c>
      <c r="P189" s="7">
        <v>45823</v>
      </c>
      <c r="Q189" s="7"/>
      <c r="R189" s="7">
        <v>45807</v>
      </c>
      <c r="S189" s="9" t="str" cm="1">
        <f t="array" aca="1" ref="S189" ca="1">IF(O189="","Sem prazo",(_xlfn.IFS((AND(R189="",O189&lt;=$M$1)),"Atrasada",AND(OR(R189="",R189&gt;=$M$1),O189&gt;$M$1),"Em andamento",R189="Cancelada","Cancelada",(OR(R189&lt;&gt;"",R189&lt;&gt;"Cancelada")),"Concluída")))</f>
        <v>Concluída</v>
      </c>
      <c r="T189" s="11"/>
      <c r="U189" s="14"/>
      <c r="V189" s="10"/>
      <c r="W189" s="10"/>
    </row>
    <row r="190" spans="2:23" ht="32.5" customHeight="1" x14ac:dyDescent="0.35">
      <c r="B190" s="3">
        <v>192</v>
      </c>
      <c r="C190" s="3"/>
      <c r="D190" s="12"/>
      <c r="E190" s="12"/>
      <c r="F190" s="5"/>
      <c r="G190" s="5"/>
      <c r="H190" s="5"/>
      <c r="I190" s="5" t="s">
        <v>447</v>
      </c>
      <c r="J190" s="5"/>
      <c r="K190" s="6"/>
      <c r="L190" s="3"/>
      <c r="M190" s="3" t="s">
        <v>297</v>
      </c>
      <c r="N190" s="7">
        <v>45730</v>
      </c>
      <c r="O190" s="7">
        <v>45789</v>
      </c>
      <c r="P190" s="7">
        <v>45823</v>
      </c>
      <c r="Q190" s="7"/>
      <c r="R190" s="7">
        <v>45807</v>
      </c>
      <c r="S190" s="9" t="str" cm="1">
        <f t="array" aca="1" ref="S190" ca="1">IF(O190="","Sem prazo",(_xlfn.IFS((AND(R190="",O190&lt;=$M$1)),"Atrasada",AND(OR(R190="",R190&gt;=$M$1),O190&gt;$M$1),"Em andamento",R190="Cancelada","Cancelada",(OR(R190&lt;&gt;"",R190&lt;&gt;"Cancelada")),"Concluída")))</f>
        <v>Concluída</v>
      </c>
      <c r="T190" s="11"/>
      <c r="U190" s="14"/>
      <c r="V190" s="10"/>
      <c r="W190" s="10"/>
    </row>
    <row r="191" spans="2:23" ht="32.5" customHeight="1" x14ac:dyDescent="0.35">
      <c r="B191" s="3">
        <v>193</v>
      </c>
      <c r="C191" s="3"/>
      <c r="D191" s="12"/>
      <c r="E191" s="12"/>
      <c r="F191" s="5"/>
      <c r="G191" s="5"/>
      <c r="H191" s="5"/>
      <c r="I191" s="5" t="s">
        <v>448</v>
      </c>
      <c r="J191" s="5"/>
      <c r="K191" s="6"/>
      <c r="L191" s="3"/>
      <c r="M191" s="3" t="s">
        <v>297</v>
      </c>
      <c r="N191" s="7">
        <v>45730</v>
      </c>
      <c r="O191" s="7">
        <v>45789</v>
      </c>
      <c r="P191" s="7"/>
      <c r="Q191" s="7"/>
      <c r="R191" s="7">
        <v>45798</v>
      </c>
      <c r="S191" s="9" t="str" cm="1">
        <f t="array" aca="1" ref="S191" ca="1">IF(O191="","Sem prazo",(_xlfn.IFS((AND(R191="",O191&lt;=$M$1)),"Atrasada",AND(OR(R191="",R191&gt;=$M$1),O191&gt;$M$1),"Em andamento",R191="Cancelada","Cancelada",(OR(R191&lt;&gt;"",R191&lt;&gt;"Cancelada")),"Concluída")))</f>
        <v>Concluída</v>
      </c>
      <c r="T191" s="11"/>
      <c r="U191" s="14"/>
      <c r="V191" s="10"/>
      <c r="W191" s="10"/>
    </row>
    <row r="192" spans="2:23" ht="32.5" customHeight="1" x14ac:dyDescent="0.35">
      <c r="B192" s="3">
        <v>194</v>
      </c>
      <c r="C192" s="3"/>
      <c r="D192" s="12"/>
      <c r="E192" s="12"/>
      <c r="F192" s="5"/>
      <c r="G192" s="5"/>
      <c r="H192" s="5"/>
      <c r="I192" s="5" t="s">
        <v>449</v>
      </c>
      <c r="J192" s="3" t="s">
        <v>297</v>
      </c>
      <c r="K192" s="7">
        <v>45800</v>
      </c>
      <c r="L192" s="7">
        <v>45823</v>
      </c>
      <c r="M192" s="3" t="s">
        <v>297</v>
      </c>
      <c r="N192" s="7">
        <v>45800</v>
      </c>
      <c r="O192" s="7">
        <v>45823</v>
      </c>
      <c r="P192" s="7"/>
      <c r="Q192" s="7"/>
      <c r="R192" s="7">
        <v>45812</v>
      </c>
      <c r="S192" s="9" t="str" cm="1">
        <f t="array" aca="1" ref="S192" ca="1">IF(O192="","Sem prazo",(_xlfn.IFS((AND(R192="",O192&lt;=$M$1)),"Atrasada",AND(OR(R192="",R192&gt;=$M$1),O192&gt;$M$1),"Em andamento",R192="Cancelada","Cancelada",(OR(R192&lt;&gt;"",R192&lt;&gt;"Cancelada")),"Concluída")))</f>
        <v>Concluída</v>
      </c>
      <c r="T192" s="11"/>
      <c r="U192" s="14"/>
      <c r="V192" s="10"/>
      <c r="W192" s="10"/>
    </row>
    <row r="193" spans="2:23" ht="32.5" customHeight="1" x14ac:dyDescent="0.35">
      <c r="B193" s="3">
        <v>195</v>
      </c>
      <c r="C193" s="3"/>
      <c r="D193" s="12"/>
      <c r="E193" s="12"/>
      <c r="F193" s="5"/>
      <c r="G193" s="5"/>
      <c r="H193" s="5"/>
      <c r="I193" s="5" t="s">
        <v>450</v>
      </c>
      <c r="J193" s="5"/>
      <c r="K193" s="6"/>
      <c r="L193" s="3"/>
      <c r="M193" s="3" t="s">
        <v>297</v>
      </c>
      <c r="N193" s="7">
        <v>45800</v>
      </c>
      <c r="O193" s="7">
        <v>45823</v>
      </c>
      <c r="P193" s="7"/>
      <c r="Q193" s="7"/>
      <c r="R193" s="7">
        <v>45849</v>
      </c>
      <c r="S193" s="9" t="str" cm="1">
        <f t="array" aca="1" ref="S193" ca="1">IF(O193="","Sem prazo",(_xlfn.IFS((AND(R193="",O193&lt;=$M$1)),"Atrasada",AND(OR(R193="",R193&gt;=$M$1),O193&gt;$M$1),"Em andamento",R193="Cancelada","Cancelada",(OR(R193&lt;&gt;"",R193&lt;&gt;"Cancelada")),"Concluída")))</f>
        <v>Concluída</v>
      </c>
      <c r="T193" s="11"/>
      <c r="U193" s="14"/>
      <c r="V193" s="10"/>
      <c r="W193" s="10"/>
    </row>
    <row r="194" spans="2:23" ht="32.5" customHeight="1" x14ac:dyDescent="0.35">
      <c r="B194" s="3">
        <v>196</v>
      </c>
      <c r="C194" s="3"/>
      <c r="D194" s="12"/>
      <c r="E194" s="12"/>
      <c r="F194" s="5"/>
      <c r="G194" s="5"/>
      <c r="H194" s="5"/>
      <c r="I194" s="5" t="s">
        <v>451</v>
      </c>
      <c r="J194" s="5"/>
      <c r="K194" s="6"/>
      <c r="L194" s="3"/>
      <c r="M194" s="3" t="s">
        <v>297</v>
      </c>
      <c r="N194" s="7">
        <v>45800</v>
      </c>
      <c r="O194" s="7">
        <v>45807</v>
      </c>
      <c r="P194" s="7"/>
      <c r="Q194" s="7"/>
      <c r="R194" s="7">
        <v>45807</v>
      </c>
      <c r="S194" s="9" t="str" cm="1">
        <f t="array" aca="1" ref="S194" ca="1">IF(O194="","Sem prazo",(_xlfn.IFS((AND(R194="",O194&lt;=$M$1)),"Atrasada",AND(OR(R194="",R194&gt;=$M$1),O194&gt;$M$1),"Em andamento",R194="Cancelada","Cancelada",(OR(R194&lt;&gt;"",R194&lt;&gt;"Cancelada")),"Concluída")))</f>
        <v>Concluída</v>
      </c>
      <c r="T194" s="11"/>
      <c r="U194" s="14"/>
      <c r="V194" s="10"/>
      <c r="W194" s="10"/>
    </row>
    <row r="195" spans="2:23" ht="32.5" customHeight="1" x14ac:dyDescent="0.35">
      <c r="B195" s="3">
        <v>197</v>
      </c>
      <c r="C195" s="3"/>
      <c r="D195" s="12"/>
      <c r="E195" s="12"/>
      <c r="F195" s="5"/>
      <c r="G195" s="5"/>
      <c r="H195" s="5"/>
      <c r="I195" s="5" t="s">
        <v>452</v>
      </c>
      <c r="J195" s="5"/>
      <c r="K195" s="6"/>
      <c r="L195" s="3"/>
      <c r="M195" s="3" t="s">
        <v>453</v>
      </c>
      <c r="N195" s="7">
        <v>45807</v>
      </c>
      <c r="O195" s="7">
        <v>45823</v>
      </c>
      <c r="P195" s="7"/>
      <c r="Q195" s="7"/>
      <c r="R195" s="7">
        <v>45823</v>
      </c>
      <c r="S195" s="9" t="str" cm="1">
        <f t="array" aca="1" ref="S195" ca="1">IF(O195="","Sem prazo",(_xlfn.IFS((AND(R195="",O195&lt;=$M$1)),"Atrasada",AND(OR(R195="",R195&gt;=$M$1),O195&gt;$M$1),"Em andamento",R195="Cancelada","Cancelada",(OR(R195&lt;&gt;"",R195&lt;&gt;"Cancelada")),"Concluída")))</f>
        <v>Concluída</v>
      </c>
      <c r="T195" s="11"/>
      <c r="U195" s="14"/>
      <c r="V195" s="10"/>
      <c r="W195" s="10"/>
    </row>
    <row r="196" spans="2:23" ht="32.5" customHeight="1" x14ac:dyDescent="0.35">
      <c r="B196" s="3">
        <v>198</v>
      </c>
      <c r="C196" s="3"/>
      <c r="D196" s="12"/>
      <c r="E196" s="12"/>
      <c r="F196" s="5"/>
      <c r="G196" s="5"/>
      <c r="H196" s="5"/>
      <c r="I196" s="5" t="s">
        <v>454</v>
      </c>
      <c r="J196" s="5"/>
      <c r="K196" s="6"/>
      <c r="L196" s="3"/>
      <c r="M196" s="3" t="s">
        <v>453</v>
      </c>
      <c r="N196" s="7">
        <v>45807</v>
      </c>
      <c r="O196" s="7">
        <v>45823</v>
      </c>
      <c r="P196" s="7"/>
      <c r="Q196" s="7"/>
      <c r="R196" s="7">
        <v>45823</v>
      </c>
      <c r="S196" s="9" t="str" cm="1">
        <f t="array" aca="1" ref="S196" ca="1">IF(O196="","Sem prazo",(_xlfn.IFS((AND(R196="",O196&lt;=$M$1)),"Atrasada",AND(OR(R196="",R196&gt;=$M$1),O196&gt;$M$1),"Em andamento",R196="Cancelada","Cancelada",(OR(R196&lt;&gt;"",R196&lt;&gt;"Cancelada")),"Concluída")))</f>
        <v>Concluída</v>
      </c>
      <c r="T196" s="11"/>
      <c r="U196" s="14"/>
      <c r="V196" s="10"/>
      <c r="W196" s="10"/>
    </row>
    <row r="197" spans="2:23" ht="32.5" customHeight="1" x14ac:dyDescent="0.35">
      <c r="B197" s="3">
        <v>199</v>
      </c>
      <c r="C197" s="3"/>
      <c r="D197" s="12"/>
      <c r="E197" s="12"/>
      <c r="F197" s="5"/>
      <c r="G197" s="5"/>
      <c r="H197" s="5"/>
      <c r="I197" s="5" t="s">
        <v>455</v>
      </c>
      <c r="J197" s="5"/>
      <c r="K197" s="6"/>
      <c r="L197" s="3"/>
      <c r="M197" s="3" t="s">
        <v>456</v>
      </c>
      <c r="N197" s="7">
        <v>45807</v>
      </c>
      <c r="O197" s="7">
        <v>45823</v>
      </c>
      <c r="P197" s="7"/>
      <c r="Q197" s="7"/>
      <c r="R197" s="7">
        <v>45823</v>
      </c>
      <c r="S197" s="9" t="str" cm="1">
        <f t="array" aca="1" ref="S197" ca="1">IF(O197="","Sem prazo",(_xlfn.IFS((AND(R197="",O197&lt;=$M$1)),"Atrasada",AND(OR(R197="",R197&gt;=$M$1),O197&gt;$M$1),"Em andamento",R197="Cancelada","Cancelada",(OR(R197&lt;&gt;"",R197&lt;&gt;"Cancelada")),"Concluída")))</f>
        <v>Concluída</v>
      </c>
      <c r="T197" s="11"/>
      <c r="U197" s="14" t="s">
        <v>457</v>
      </c>
      <c r="V197" s="10"/>
      <c r="W197" s="10"/>
    </row>
    <row r="198" spans="2:23" ht="32.5" customHeight="1" x14ac:dyDescent="0.35">
      <c r="B198" s="3">
        <v>200</v>
      </c>
      <c r="C198" s="3"/>
      <c r="D198" s="12"/>
      <c r="E198" s="12"/>
      <c r="F198" s="5"/>
      <c r="G198" s="5"/>
      <c r="H198" s="5"/>
      <c r="I198" s="5" t="s">
        <v>458</v>
      </c>
      <c r="J198" s="5"/>
      <c r="K198" s="6"/>
      <c r="L198" s="3"/>
      <c r="M198" s="3" t="s">
        <v>459</v>
      </c>
      <c r="N198" s="7">
        <v>45814</v>
      </c>
      <c r="O198" s="7">
        <v>45817</v>
      </c>
      <c r="P198" s="7"/>
      <c r="Q198" s="7"/>
      <c r="R198" s="7">
        <v>45823</v>
      </c>
      <c r="S198" s="9" t="str" cm="1">
        <f t="array" aca="1" ref="S198" ca="1">IF(O198="","Sem prazo",(_xlfn.IFS((AND(R198="",O198&lt;=$M$1)),"Atrasada",AND(OR(R198="",R198&gt;=$M$1),O198&gt;$M$1),"Em andamento",R198="Cancelada","Cancelada",(OR(R198&lt;&gt;"",R198&lt;&gt;"Cancelada")),"Concluída")))</f>
        <v>Concluída</v>
      </c>
      <c r="T198" s="11"/>
      <c r="U198" s="14"/>
      <c r="V198" s="10"/>
      <c r="W198" s="10"/>
    </row>
    <row r="199" spans="2:23" ht="32.5" customHeight="1" x14ac:dyDescent="0.35">
      <c r="B199" s="3">
        <v>201</v>
      </c>
      <c r="C199" s="3"/>
      <c r="D199" s="12"/>
      <c r="E199" s="12"/>
      <c r="F199" s="5"/>
      <c r="G199" s="5"/>
      <c r="H199" s="5" t="s">
        <v>460</v>
      </c>
      <c r="I199" s="5" t="s">
        <v>461</v>
      </c>
      <c r="J199" s="5"/>
      <c r="K199" s="6"/>
      <c r="L199" s="3"/>
      <c r="M199" s="3" t="s">
        <v>459</v>
      </c>
      <c r="N199" s="7">
        <v>45814</v>
      </c>
      <c r="O199" s="7">
        <v>45828</v>
      </c>
      <c r="P199" s="7">
        <v>45879</v>
      </c>
      <c r="Q199" s="7"/>
      <c r="R199" s="7">
        <v>45875</v>
      </c>
      <c r="S199" s="9" t="str" cm="1">
        <f t="array" aca="1" ref="S199" ca="1">IF(O199="","Sem prazo",(_xlfn.IFS((AND(R199="",O199&lt;=$M$1)),"Atrasada",AND(OR(R199="",R199&gt;=$M$1),O199&gt;$M$1),"Em andamento",R199="Cancelada","Cancelada",(OR(R199&lt;&gt;"",R199&lt;&gt;"Cancelada")),"Concluída")))</f>
        <v>Concluída</v>
      </c>
      <c r="T199" s="11"/>
      <c r="U199" s="14" t="s">
        <v>462</v>
      </c>
      <c r="V199" s="10"/>
      <c r="W199" s="10"/>
    </row>
    <row r="200" spans="2:23" ht="32.5" customHeight="1" x14ac:dyDescent="0.35">
      <c r="B200" s="3">
        <v>202</v>
      </c>
      <c r="C200" s="3"/>
      <c r="D200" s="12"/>
      <c r="E200" s="12"/>
      <c r="F200" s="5"/>
      <c r="G200" s="5"/>
      <c r="H200" s="5" t="s">
        <v>460</v>
      </c>
      <c r="I200" s="5" t="s">
        <v>463</v>
      </c>
      <c r="J200" s="5"/>
      <c r="K200" s="6"/>
      <c r="L200" s="3"/>
      <c r="M200" s="3" t="s">
        <v>381</v>
      </c>
      <c r="N200" s="7">
        <v>45814</v>
      </c>
      <c r="O200" s="7">
        <v>45823</v>
      </c>
      <c r="P200" s="7">
        <v>45863</v>
      </c>
      <c r="Q200" s="7"/>
      <c r="R200" s="7">
        <v>45866</v>
      </c>
      <c r="S200" s="9" t="str" cm="1">
        <f t="array" aca="1" ref="S200" ca="1">IF(O200="","Sem prazo",(_xlfn.IFS((AND(R200="",O200&lt;=$M$1)),"Atrasada",AND(OR(R200="",R200&gt;=$M$1),O200&gt;$M$1),"Em andamento",R200="Cancelada","Cancelada",(OR(R200&lt;&gt;"",R200&lt;&gt;"Cancelada")),"Concluída")))</f>
        <v>Concluída</v>
      </c>
      <c r="T200" s="11"/>
      <c r="U200" s="14" t="s">
        <v>464</v>
      </c>
      <c r="V200" s="10"/>
      <c r="W200" s="10"/>
    </row>
    <row r="201" spans="2:23" ht="32.25" customHeight="1" x14ac:dyDescent="0.35">
      <c r="B201" s="3">
        <v>203</v>
      </c>
      <c r="C201" s="3"/>
      <c r="D201" s="12"/>
      <c r="E201" s="12"/>
      <c r="F201" s="5"/>
      <c r="G201" s="5"/>
      <c r="H201" s="5"/>
      <c r="I201" s="5" t="s">
        <v>465</v>
      </c>
      <c r="J201" s="5"/>
      <c r="K201" s="6"/>
      <c r="L201" s="3"/>
      <c r="M201" s="3" t="s">
        <v>466</v>
      </c>
      <c r="N201" s="7">
        <v>45831</v>
      </c>
      <c r="O201" s="7">
        <v>45833</v>
      </c>
      <c r="P201" s="7">
        <v>45960</v>
      </c>
      <c r="Q201" s="7">
        <v>45989</v>
      </c>
      <c r="R201" s="7"/>
      <c r="S201" s="9" t="str" cm="1">
        <f t="array" aca="1" ref="S201" ca="1">IF(O201="","Sem prazo",(_xlfn.IFS((AND(R201="",O201&lt;=$M$1)),"Atrasada",AND(OR(R201="",R201&gt;=$M$1),O201&gt;$M$1),"Em andamento",R201="Cancelada","Cancelada",(OR(R201&lt;&gt;"",R201&lt;&gt;"Cancelada")),"Concluída")))</f>
        <v>Atrasada</v>
      </c>
      <c r="T201" s="11"/>
      <c r="U201" s="14" t="s">
        <v>467</v>
      </c>
      <c r="V201" s="10"/>
      <c r="W201" s="10"/>
    </row>
    <row r="202" spans="2:23" ht="33.65" customHeight="1" x14ac:dyDescent="0.35">
      <c r="B202" s="3">
        <v>204</v>
      </c>
      <c r="C202" s="3"/>
      <c r="D202" s="12"/>
      <c r="E202" s="12"/>
      <c r="F202" s="5"/>
      <c r="G202" s="5"/>
      <c r="H202" s="5"/>
      <c r="I202" s="5" t="s">
        <v>468</v>
      </c>
      <c r="J202" s="5"/>
      <c r="K202" s="6"/>
      <c r="L202" s="3"/>
      <c r="M202" s="3" t="s">
        <v>57</v>
      </c>
      <c r="N202" s="7">
        <v>45831</v>
      </c>
      <c r="O202" s="7">
        <v>45838</v>
      </c>
      <c r="P202" s="7"/>
      <c r="Q202" s="7"/>
      <c r="R202" s="7">
        <v>45834</v>
      </c>
      <c r="S202" s="9" t="str" cm="1">
        <f t="array" aca="1" ref="S202" ca="1">IF(O202="","Sem prazo",(_xlfn.IFS((AND(R202="",O202&lt;=$M$1)),"Atrasada",AND(OR(R202="",R202&gt;=$M$1),O202&gt;$M$1),"Em andamento",R202="Cancelada","Cancelada",(OR(R202&lt;&gt;"",R202&lt;&gt;"Cancelada")),"Concluída")))</f>
        <v>Concluída</v>
      </c>
      <c r="T202" s="11"/>
      <c r="U202" s="14"/>
      <c r="V202" s="13"/>
      <c r="W202" s="10"/>
    </row>
    <row r="203" spans="2:23" ht="46.5" customHeight="1" x14ac:dyDescent="0.35">
      <c r="B203" s="3">
        <v>205</v>
      </c>
      <c r="C203" s="3"/>
      <c r="D203" s="12"/>
      <c r="E203" s="12"/>
      <c r="F203" s="5"/>
      <c r="G203" s="5"/>
      <c r="H203" s="5"/>
      <c r="I203" s="5" t="s">
        <v>469</v>
      </c>
      <c r="M203" s="3" t="s">
        <v>470</v>
      </c>
      <c r="N203" s="7">
        <v>45831</v>
      </c>
      <c r="O203" s="7">
        <v>45838</v>
      </c>
      <c r="P203" s="7">
        <v>45960</v>
      </c>
      <c r="Q203" s="49">
        <v>45989</v>
      </c>
      <c r="R203" s="7"/>
      <c r="S203" s="9" t="str" cm="1">
        <f t="array" aca="1" ref="S203" ca="1">IF(O203="","Sem prazo",(_xlfn.IFS((AND(R203="",O203&lt;=$M$1)),"Atrasada",AND(OR(R203="",R203&gt;=$M$1),O203&gt;$M$1),"Em andamento",R203="Cancelada","Cancelada",(OR(R203&lt;&gt;"",R203&lt;&gt;"Cancelada")),"Concluída")))</f>
        <v>Atrasada</v>
      </c>
      <c r="T203" s="11"/>
      <c r="U203" s="6" t="s">
        <v>471</v>
      </c>
      <c r="V203" s="13"/>
      <c r="W203" s="10"/>
    </row>
    <row r="204" spans="2:23" ht="35.5" customHeight="1" x14ac:dyDescent="0.35">
      <c r="B204" s="3">
        <v>206</v>
      </c>
      <c r="C204" s="3"/>
      <c r="D204" s="12"/>
      <c r="E204" s="12"/>
      <c r="F204" s="5"/>
      <c r="G204" s="5"/>
      <c r="H204" s="5"/>
      <c r="I204" s="5" t="s">
        <v>472</v>
      </c>
      <c r="M204" s="3" t="s">
        <v>473</v>
      </c>
      <c r="N204" s="7">
        <v>45845</v>
      </c>
      <c r="O204" s="7">
        <v>45849</v>
      </c>
      <c r="P204" s="7"/>
      <c r="Q204" s="7"/>
      <c r="R204" s="7">
        <v>45849</v>
      </c>
      <c r="S204" s="9" t="str" cm="1">
        <f t="array" aca="1" ref="S204" ca="1">IF(O204="","Sem prazo",(_xlfn.IFS((AND(R204="",O204&lt;=$M$1)),"Atrasada",AND(OR(R204="",R204&gt;=$M$1),O204&gt;$M$1),"Em andamento",R204="Cancelada","Cancelada",(OR(R204&lt;&gt;"",R204&lt;&gt;"Cancelada")),"Concluída")))</f>
        <v>Concluída</v>
      </c>
      <c r="T204" s="11"/>
      <c r="U204" s="14"/>
      <c r="V204" s="13"/>
      <c r="W204" s="10"/>
    </row>
    <row r="205" spans="2:23" ht="33" customHeight="1" x14ac:dyDescent="0.35">
      <c r="B205" s="3">
        <v>207</v>
      </c>
      <c r="C205" s="3"/>
      <c r="D205" s="12"/>
      <c r="E205" s="12"/>
      <c r="F205" s="5"/>
      <c r="G205" s="5"/>
      <c r="H205" s="5"/>
      <c r="I205" s="5" t="s">
        <v>474</v>
      </c>
      <c r="M205" s="3" t="s">
        <v>475</v>
      </c>
      <c r="N205" s="7">
        <v>45852</v>
      </c>
      <c r="O205" s="7">
        <v>45856</v>
      </c>
      <c r="P205" s="7"/>
      <c r="Q205" s="7"/>
      <c r="R205" s="7">
        <v>45859</v>
      </c>
      <c r="S205" s="9" t="str" cm="1">
        <f t="array" aca="1" ref="S205" ca="1">IF(O205="","Sem prazo",(_xlfn.IFS((AND(R205="",O205&lt;=$M$1)),"Atrasada",AND(OR(R205="",R205&gt;=$M$1),O205&gt;$M$1),"Em andamento",R205="Cancelada","Cancelada",(OR(R205&lt;&gt;"",R205&lt;&gt;"Cancelada")),"Concluída")))</f>
        <v>Concluída</v>
      </c>
      <c r="T205" s="11"/>
      <c r="U205" s="14" t="s">
        <v>476</v>
      </c>
      <c r="V205" s="13"/>
      <c r="W205" s="10"/>
    </row>
    <row r="206" spans="2:23" ht="29.5" customHeight="1" x14ac:dyDescent="0.35">
      <c r="B206" s="3">
        <v>208</v>
      </c>
      <c r="C206" s="36"/>
      <c r="D206" s="12"/>
      <c r="E206" s="37"/>
      <c r="F206" s="5"/>
      <c r="G206" s="5"/>
      <c r="H206" s="5"/>
      <c r="I206" s="5" t="s">
        <v>477</v>
      </c>
      <c r="M206" s="3" t="s">
        <v>30</v>
      </c>
      <c r="N206" s="7">
        <v>45852</v>
      </c>
      <c r="O206" s="38">
        <v>45856</v>
      </c>
      <c r="P206" s="3"/>
      <c r="Q206" s="3"/>
      <c r="R206" s="7">
        <v>45856</v>
      </c>
      <c r="S206" s="9" t="str" cm="1">
        <f t="array" aca="1" ref="S206" ca="1">IF(O206="","Sem prazo",(_xlfn.IFS((AND(R206="",O206&lt;=$M$1)),"Atrasada",AND(OR(R206="",R206&gt;=$M$1),O206&gt;$M$1),"Em andamento",R206="Cancelada","Cancelada",(OR(R206&lt;&gt;"",R206&lt;&gt;"Cancelada")),"Concluída")))</f>
        <v>Concluída</v>
      </c>
      <c r="T206" s="11"/>
      <c r="U206" s="14" t="s">
        <v>478</v>
      </c>
      <c r="V206" s="13"/>
      <c r="W206" s="10"/>
    </row>
    <row r="207" spans="2:23" ht="29.5" customHeight="1" x14ac:dyDescent="0.35">
      <c r="B207" s="39">
        <v>209</v>
      </c>
      <c r="D207" s="40"/>
      <c r="E207" s="39"/>
      <c r="F207" s="41"/>
      <c r="G207" s="41"/>
      <c r="H207" s="41"/>
      <c r="I207" s="42" t="s">
        <v>479</v>
      </c>
      <c r="M207" s="40" t="s">
        <v>480</v>
      </c>
      <c r="N207" s="43">
        <v>45852</v>
      </c>
      <c r="O207" s="44">
        <v>45876</v>
      </c>
      <c r="P207" s="43"/>
      <c r="Q207" s="43"/>
      <c r="R207" s="43">
        <v>45901</v>
      </c>
      <c r="S207" s="45" t="str" cm="1">
        <f t="array" aca="1" ref="S207" ca="1">IF(O207="","Sem prazo",(_xlfn.IFS((AND(R207="",O207&lt;=$M$1)),"Atrasada",AND(OR(R207="",R207&gt;=$M$1),O207&gt;$M$1),"Em andamento",R207="Cancelada","Cancelada",(OR(R207&lt;&gt;"",R207&lt;&gt;"Cancelada")),"Concluída")))</f>
        <v>Concluída</v>
      </c>
      <c r="T207" s="46"/>
      <c r="U207" s="47" t="s">
        <v>481</v>
      </c>
      <c r="V207" s="47"/>
      <c r="W207" s="48"/>
    </row>
    <row r="208" spans="2:23" ht="58" x14ac:dyDescent="0.35">
      <c r="B208" s="39">
        <v>209</v>
      </c>
      <c r="C208" s="3"/>
      <c r="D208" s="3"/>
      <c r="E208" s="3"/>
      <c r="F208" s="5"/>
      <c r="G208" s="5"/>
      <c r="H208" s="5"/>
      <c r="I208" s="5" t="s">
        <v>482</v>
      </c>
      <c r="J208" s="5"/>
      <c r="K208" s="6"/>
      <c r="L208" s="3"/>
      <c r="M208" s="3" t="s">
        <v>483</v>
      </c>
      <c r="N208" s="7">
        <v>45873</v>
      </c>
      <c r="O208" s="7">
        <v>45884</v>
      </c>
      <c r="P208" s="7">
        <v>45960</v>
      </c>
      <c r="Q208" s="7">
        <v>45965</v>
      </c>
      <c r="R208" s="3"/>
      <c r="S208" s="9" t="str" cm="1">
        <f t="array" aca="1" ref="S208" ca="1">IF(O208="","Sem prazo",(_xlfn.IFS((AND(R208="",O208&lt;=$M$1)),"Atrasada",AND(OR(R208="",R208&gt;=$M$1),O208&gt;$M$1),"Em andamento",R208="Cancelada","Cancelada",(OR(R208&lt;&gt;"",R208&lt;&gt;"Cancelada")),"Concluída")))</f>
        <v>Atrasada</v>
      </c>
      <c r="T208" s="11"/>
      <c r="U208" s="6" t="s">
        <v>484</v>
      </c>
      <c r="V208" s="6"/>
      <c r="W208" s="6"/>
    </row>
    <row r="209" spans="2:23" ht="29" x14ac:dyDescent="0.35">
      <c r="B209" s="39">
        <v>209</v>
      </c>
      <c r="C209" s="3"/>
      <c r="D209" s="3"/>
      <c r="E209" s="3"/>
      <c r="F209" s="5"/>
      <c r="G209" s="5"/>
      <c r="H209" s="5"/>
      <c r="I209" s="5" t="s">
        <v>485</v>
      </c>
      <c r="J209" s="5"/>
      <c r="K209" s="6"/>
      <c r="L209" s="3"/>
      <c r="M209" s="3" t="s">
        <v>316</v>
      </c>
      <c r="N209" s="7">
        <v>45873</v>
      </c>
      <c r="O209" s="7">
        <v>45884</v>
      </c>
      <c r="P209" s="7"/>
      <c r="Q209" s="7"/>
      <c r="R209" s="7">
        <v>45912</v>
      </c>
      <c r="S209" s="9" t="str" cm="1">
        <f t="array" aca="1" ref="S209" ca="1">IF(O209="","Sem prazo",(_xlfn.IFS((AND(R209="",O209&lt;=$M$1)),"Atrasada",AND(OR(R209="",R209&gt;=$M$1),O209&gt;$M$1),"Em andamento",R209="Cancelada","Cancelada",(OR(R209&lt;&gt;"",R209&lt;&gt;"Cancelada")),"Concluída")))</f>
        <v>Concluída</v>
      </c>
      <c r="T209" s="11"/>
      <c r="U209" s="6"/>
      <c r="V209" s="6"/>
      <c r="W209" s="6"/>
    </row>
    <row r="210" spans="2:23" ht="27" customHeight="1" x14ac:dyDescent="0.35">
      <c r="B210" s="3"/>
      <c r="C210" s="3"/>
      <c r="D210" s="3"/>
      <c r="E210" s="3"/>
      <c r="F210" s="5"/>
      <c r="G210" s="5"/>
      <c r="H210" s="5"/>
      <c r="I210" s="5" t="s">
        <v>486</v>
      </c>
      <c r="J210" s="5"/>
      <c r="K210" s="6"/>
      <c r="L210" s="3"/>
      <c r="M210" s="3" t="s">
        <v>487</v>
      </c>
      <c r="N210" s="7">
        <v>45873</v>
      </c>
      <c r="O210" s="7">
        <v>45884</v>
      </c>
      <c r="P210" s="7">
        <v>45960</v>
      </c>
      <c r="Q210" s="7"/>
      <c r="R210" s="7">
        <v>45957</v>
      </c>
      <c r="S210" s="9" t="str" cm="1">
        <f t="array" aca="1" ref="S210" ca="1">IF(O210="","Sem prazo",(_xlfn.IFS((AND(R210="",O210&lt;=$M$1)),"Atrasada",AND(OR(R210="",R210&gt;=$M$1),O210&gt;$M$1),"Em andamento",R210="Cancelada","Cancelada",(OR(R210&lt;&gt;"",R210&lt;&gt;"Cancelada")),"Concluída")))</f>
        <v>Concluída</v>
      </c>
      <c r="T210" s="11"/>
      <c r="U210" s="6" t="s">
        <v>488</v>
      </c>
      <c r="V210" s="6"/>
      <c r="W210" s="6"/>
    </row>
    <row r="211" spans="2:23" x14ac:dyDescent="0.35">
      <c r="B211" s="3"/>
      <c r="C211" s="3"/>
      <c r="D211" s="3"/>
      <c r="E211" s="3"/>
      <c r="F211" s="5"/>
      <c r="G211" s="5"/>
      <c r="H211" s="5"/>
      <c r="I211" s="5" t="s">
        <v>489</v>
      </c>
      <c r="J211" s="5"/>
      <c r="K211" s="6"/>
      <c r="L211" s="3"/>
      <c r="M211" s="3" t="s">
        <v>182</v>
      </c>
      <c r="N211" s="7">
        <v>45873</v>
      </c>
      <c r="O211" s="7">
        <v>45884</v>
      </c>
      <c r="P211" s="3"/>
      <c r="Q211" s="3"/>
      <c r="R211" s="7">
        <v>45885</v>
      </c>
      <c r="S211" s="9" t="str" cm="1">
        <f t="array" aca="1" ref="S211" ca="1">IF(O211="","Sem prazo",(_xlfn.IFS((AND(R211="",O211&lt;=$M$1)),"Atrasada",AND(OR(R211="",R211&gt;=$M$1),O211&gt;$M$1),"Em andamento",R211="Cancelada","Cancelada",(OR(R211&lt;&gt;"",R211&lt;&gt;"Cancelada")),"Concluída")))</f>
        <v>Concluída</v>
      </c>
      <c r="T211" s="11"/>
      <c r="U211" s="6"/>
      <c r="V211" s="6"/>
      <c r="W211" s="6"/>
    </row>
    <row r="212" spans="2:23" ht="58" x14ac:dyDescent="0.35">
      <c r="B212" s="3"/>
      <c r="C212" s="3"/>
      <c r="D212" s="3"/>
      <c r="E212" s="3"/>
      <c r="F212" s="5"/>
      <c r="G212" s="5"/>
      <c r="H212" s="5"/>
      <c r="I212" s="5" t="s">
        <v>490</v>
      </c>
      <c r="J212" s="5"/>
      <c r="K212" s="6"/>
      <c r="L212" s="3"/>
      <c r="M212" s="3" t="s">
        <v>182</v>
      </c>
      <c r="N212" s="7">
        <v>45922</v>
      </c>
      <c r="O212" s="7">
        <v>45924</v>
      </c>
      <c r="P212" s="7">
        <v>45960</v>
      </c>
      <c r="Q212" s="7"/>
      <c r="R212" s="7">
        <v>45967</v>
      </c>
      <c r="S212" s="9" t="str" cm="1">
        <f t="array" aca="1" ref="S212" ca="1">IF(O212="","Sem prazo",(_xlfn.IFS((AND(R212="",O212&lt;=$M$1)),"Atrasada",AND(OR(R212="",R212&gt;=$M$1),O212&gt;$M$1),"Em andamento",R212="Cancelada","Cancelada",(OR(R212&lt;&gt;"",R212&lt;&gt;"Cancelada")),"Concluída")))</f>
        <v>Concluída</v>
      </c>
      <c r="T212" s="11"/>
      <c r="U212" s="6" t="s">
        <v>491</v>
      </c>
      <c r="V212" s="6"/>
      <c r="W212" s="6"/>
    </row>
    <row r="213" spans="2:23" ht="29" x14ac:dyDescent="0.35">
      <c r="B213" s="3"/>
      <c r="C213" s="3"/>
      <c r="D213" s="3"/>
      <c r="E213" s="3"/>
      <c r="F213" s="5"/>
      <c r="G213" s="5"/>
      <c r="H213" s="5"/>
      <c r="I213" s="5" t="s">
        <v>492</v>
      </c>
      <c r="J213" s="5"/>
      <c r="K213" s="6"/>
      <c r="L213" s="3"/>
      <c r="M213" s="3" t="s">
        <v>487</v>
      </c>
      <c r="N213" s="7">
        <v>45922</v>
      </c>
      <c r="O213" s="7">
        <v>45924</v>
      </c>
      <c r="P213" s="7">
        <v>45960</v>
      </c>
      <c r="Q213" s="7"/>
      <c r="R213" s="7">
        <v>45943</v>
      </c>
      <c r="S213" s="9" t="str" cm="1">
        <f t="array" aca="1" ref="S213" ca="1">IF(O213="","Sem prazo",(_xlfn.IFS((AND(R213="",O213&lt;=$M$1)),"Atrasada",AND(OR(R213="",R213&gt;=$M$1),O213&gt;$M$1),"Em andamento",R213="Cancelada","Cancelada",(OR(R213&lt;&gt;"",R213&lt;&gt;"Cancelada")),"Concluída")))</f>
        <v>Concluída</v>
      </c>
      <c r="T213" s="11"/>
      <c r="U213" s="6" t="s">
        <v>493</v>
      </c>
      <c r="V213" s="6"/>
      <c r="W213" s="6"/>
    </row>
    <row r="214" spans="2:23" x14ac:dyDescent="0.35">
      <c r="B214" s="3"/>
      <c r="C214" s="3"/>
      <c r="D214" s="3"/>
      <c r="E214" s="3"/>
      <c r="F214" s="5"/>
      <c r="G214" s="5"/>
      <c r="H214" s="5"/>
      <c r="I214" s="5" t="s">
        <v>494</v>
      </c>
      <c r="J214" s="5"/>
      <c r="K214" s="6"/>
      <c r="L214" s="3"/>
      <c r="M214" s="3" t="s">
        <v>495</v>
      </c>
      <c r="N214" s="7">
        <v>45922</v>
      </c>
      <c r="O214" s="7">
        <v>45933</v>
      </c>
      <c r="P214" s="7">
        <v>45940</v>
      </c>
      <c r="Q214" s="7"/>
      <c r="R214" s="7">
        <v>45930</v>
      </c>
      <c r="S214" s="9" t="str" cm="1">
        <f t="array" aca="1" ref="S214" ca="1">IF(O214="","Sem prazo",(_xlfn.IFS((AND(R214="",O214&lt;=$M$1)),"Atrasada",AND(OR(R214="",R214&gt;=$M$1),O214&gt;$M$1),"Em andamento",R214="Cancelada","Cancelada",(OR(R214&lt;&gt;"",R214&lt;&gt;"Cancelada")),"Concluída")))</f>
        <v>Concluída</v>
      </c>
      <c r="T214" s="11"/>
      <c r="U214" s="6"/>
      <c r="V214" s="6"/>
      <c r="W214" s="6"/>
    </row>
    <row r="215" spans="2:23" ht="72.5" x14ac:dyDescent="0.35">
      <c r="B215" s="3"/>
      <c r="C215" s="3"/>
      <c r="D215" s="3"/>
      <c r="E215" s="3"/>
      <c r="F215" s="5"/>
      <c r="G215" s="5"/>
      <c r="H215" s="5"/>
      <c r="I215" s="5" t="s">
        <v>496</v>
      </c>
      <c r="J215" s="5"/>
      <c r="K215" s="6"/>
      <c r="L215" s="3"/>
      <c r="M215" s="3" t="s">
        <v>487</v>
      </c>
      <c r="N215" s="7">
        <v>45943</v>
      </c>
      <c r="O215" s="7">
        <v>45947</v>
      </c>
      <c r="P215" s="7">
        <v>45960</v>
      </c>
      <c r="Q215" s="7">
        <v>45974</v>
      </c>
      <c r="R215" s="7">
        <v>45974</v>
      </c>
      <c r="S215" s="9" t="str" cm="1">
        <f t="array" aca="1" ref="S215" ca="1">IF(O215="","Sem prazo",(_xlfn.IFS((AND(R215="",O215&lt;=$M$1)),"Atrasada",AND(OR(R215="",R215&gt;=$M$1),O215&gt;$M$1),"Em andamento",R215="Cancelada","Cancelada",(OR(R215&lt;&gt;"",R215&lt;&gt;"Cancelada")),"Concluída")))</f>
        <v>Concluída</v>
      </c>
      <c r="T215" s="11"/>
      <c r="U215" s="6" t="s">
        <v>497</v>
      </c>
      <c r="V215" s="6"/>
      <c r="W215" s="6"/>
    </row>
    <row r="216" spans="2:23" ht="29" x14ac:dyDescent="0.35">
      <c r="B216" s="3"/>
      <c r="C216" s="3"/>
      <c r="D216" s="3"/>
      <c r="E216" s="3"/>
      <c r="F216" s="5"/>
      <c r="G216" s="5"/>
      <c r="H216" s="5"/>
      <c r="I216" s="5" t="s">
        <v>498</v>
      </c>
      <c r="J216" s="5"/>
      <c r="K216" s="6"/>
      <c r="L216" s="3"/>
      <c r="M216" s="3" t="s">
        <v>466</v>
      </c>
      <c r="N216" s="7">
        <v>45943</v>
      </c>
      <c r="O216" s="7">
        <v>45947</v>
      </c>
      <c r="P216" s="7">
        <v>45959</v>
      </c>
      <c r="Q216" s="7"/>
      <c r="R216" s="7">
        <v>45964</v>
      </c>
      <c r="S216" s="9" t="str" cm="1">
        <f t="array" aca="1" ref="S216" ca="1">IF(O216="","Sem prazo",(_xlfn.IFS((AND(R216="",O216&lt;=$M$1)),"Atrasada",AND(OR(R216="",R216&gt;=$M$1),O216&gt;$M$1),"Em andamento",R216="Cancelada","Cancelada",(OR(R216&lt;&gt;"",R216&lt;&gt;"Cancelada")),"Concluída")))</f>
        <v>Concluída</v>
      </c>
      <c r="T216" s="11"/>
      <c r="U216" s="6" t="s">
        <v>499</v>
      </c>
      <c r="V216" s="6"/>
      <c r="W216" s="6"/>
    </row>
    <row r="217" spans="2:23" ht="29" x14ac:dyDescent="0.35">
      <c r="B217" s="3"/>
      <c r="C217" s="3"/>
      <c r="D217" s="3"/>
      <c r="E217" s="3"/>
      <c r="F217" s="5"/>
      <c r="G217" s="5"/>
      <c r="H217" s="5"/>
      <c r="I217" s="5" t="s">
        <v>500</v>
      </c>
      <c r="J217" s="5"/>
      <c r="K217" s="6"/>
      <c r="L217" s="3"/>
      <c r="M217" s="3" t="s">
        <v>501</v>
      </c>
      <c r="N217" s="7">
        <v>45947</v>
      </c>
      <c r="O217" s="7">
        <v>45953</v>
      </c>
      <c r="P217" s="7">
        <v>45960</v>
      </c>
      <c r="Q217" s="7"/>
      <c r="R217" s="7">
        <v>45960</v>
      </c>
      <c r="S217" s="9" t="str" cm="1">
        <f t="array" aca="1" ref="S217" ca="1">IF(O217="","Sem prazo",(_xlfn.IFS((AND(R217="",O217&lt;=$M$1)),"Atrasada",AND(OR(R217="",R217&gt;=$M$1),O217&gt;$M$1),"Em andamento",R217="Cancelada","Cancelada",(OR(R217&lt;&gt;"",R217&lt;&gt;"Cancelada")),"Concluída")))</f>
        <v>Concluída</v>
      </c>
      <c r="T217" s="11"/>
      <c r="U217" s="6" t="s">
        <v>502</v>
      </c>
      <c r="V217" s="6"/>
      <c r="W217" s="6"/>
    </row>
    <row r="218" spans="2:23" ht="43.5" x14ac:dyDescent="0.35">
      <c r="B218" s="3"/>
      <c r="C218" s="3"/>
      <c r="D218" s="3"/>
      <c r="E218" s="3"/>
      <c r="F218" s="5"/>
      <c r="G218" s="5"/>
      <c r="H218" s="5"/>
      <c r="I218" s="5" t="s">
        <v>503</v>
      </c>
      <c r="J218" s="5"/>
      <c r="K218" s="6"/>
      <c r="L218" s="3"/>
      <c r="M218" s="3" t="s">
        <v>504</v>
      </c>
      <c r="N218" s="7">
        <v>45950</v>
      </c>
      <c r="O218" s="7">
        <v>45960</v>
      </c>
      <c r="P218" s="7"/>
      <c r="Q218" s="7"/>
      <c r="R218" s="7">
        <v>45954</v>
      </c>
      <c r="S218" s="9" t="str" cm="1">
        <f t="array" aca="1" ref="S218" ca="1">IF(O218="","Sem prazo",(_xlfn.IFS((AND(R218="",O218&lt;=$M$1)),"Atrasada",AND(OR(R218="",R218&gt;=$M$1),O218&gt;$M$1),"Em andamento",R218="Cancelada","Cancelada",(OR(R218&lt;&gt;"",R218&lt;&gt;"Cancelada")),"Concluída")))</f>
        <v>Concluída</v>
      </c>
      <c r="T218" s="11"/>
      <c r="U218" s="6" t="s">
        <v>505</v>
      </c>
      <c r="V218" s="6"/>
      <c r="W218" s="6"/>
    </row>
    <row r="219" spans="2:23" ht="29" x14ac:dyDescent="0.35">
      <c r="B219" s="3"/>
      <c r="C219" s="3"/>
      <c r="D219" s="3"/>
      <c r="E219" s="3"/>
      <c r="F219" s="5"/>
      <c r="G219" s="5"/>
      <c r="H219" s="5"/>
      <c r="I219" s="5" t="s">
        <v>506</v>
      </c>
      <c r="J219" s="5"/>
      <c r="K219" s="6"/>
      <c r="L219" s="3"/>
      <c r="M219" s="3" t="s">
        <v>507</v>
      </c>
      <c r="N219" s="7">
        <v>45950</v>
      </c>
      <c r="O219" s="7">
        <v>45953</v>
      </c>
      <c r="P219" s="3"/>
      <c r="Q219" s="3"/>
      <c r="R219" s="7">
        <v>45957</v>
      </c>
      <c r="S219" s="9" t="str" cm="1">
        <f t="array" aca="1" ref="S219" ca="1">IF(O219="","Sem prazo",(_xlfn.IFS((AND(R219="",O219&lt;=$M$1)),"Atrasada",AND(OR(R219="",R219&gt;=$M$1),O219&gt;$M$1),"Em andamento",R219="Cancelada","Cancelada",(OR(R219&lt;&gt;"",R219&lt;&gt;"Cancelada")),"Concluída")))</f>
        <v>Concluída</v>
      </c>
      <c r="T219" s="11"/>
      <c r="U219" s="6"/>
      <c r="V219" s="6"/>
      <c r="W219" s="6"/>
    </row>
    <row r="220" spans="2:23" x14ac:dyDescent="0.35">
      <c r="B220" s="3"/>
      <c r="C220" s="3"/>
      <c r="D220" s="3"/>
      <c r="E220" s="3"/>
      <c r="F220" s="5"/>
      <c r="G220" s="5"/>
      <c r="H220" s="5"/>
      <c r="I220" s="5" t="s">
        <v>508</v>
      </c>
      <c r="J220" s="5"/>
      <c r="K220" s="6"/>
      <c r="L220" s="3"/>
      <c r="M220" s="3" t="s">
        <v>509</v>
      </c>
      <c r="N220" s="7">
        <v>45957</v>
      </c>
      <c r="O220" s="7">
        <v>45989</v>
      </c>
      <c r="P220" s="3"/>
      <c r="Q220" s="3"/>
      <c r="R220" s="7">
        <v>45985</v>
      </c>
      <c r="S220" s="9" t="str" cm="1">
        <f t="array" aca="1" ref="S220" ca="1">IF(O220="","Sem prazo",(_xlfn.IFS((AND(R220="",O220&lt;=$M$1)),"Atrasada",AND(OR(R220="",R220&gt;=$M$1),O220&gt;$M$1),"Em andamento",R220="Cancelada","Cancelada",(OR(R220&lt;&gt;"",R220&lt;&gt;"Cancelada")),"Concluída")))</f>
        <v>Concluída</v>
      </c>
      <c r="T220" s="11"/>
      <c r="U220" s="6" t="s">
        <v>510</v>
      </c>
      <c r="V220" s="6"/>
      <c r="W220" s="6"/>
    </row>
    <row r="221" spans="2:23" ht="29" x14ac:dyDescent="0.35">
      <c r="B221" s="3"/>
      <c r="C221" s="3"/>
      <c r="D221" s="3"/>
      <c r="E221" s="3"/>
      <c r="F221" s="5"/>
      <c r="G221" s="5"/>
      <c r="H221" s="5"/>
      <c r="I221" s="5" t="s">
        <v>511</v>
      </c>
      <c r="J221" s="5"/>
      <c r="K221" s="6"/>
      <c r="L221" s="3"/>
      <c r="M221" s="3" t="s">
        <v>509</v>
      </c>
      <c r="N221" s="7">
        <v>45957</v>
      </c>
      <c r="O221" s="7">
        <v>45960</v>
      </c>
      <c r="P221" s="7">
        <v>45975</v>
      </c>
      <c r="Q221" s="7"/>
      <c r="R221" s="7">
        <v>45985</v>
      </c>
      <c r="S221" s="9" t="str" cm="1">
        <f t="array" aca="1" ref="S221" ca="1">IF(O221="","Sem prazo",(_xlfn.IFS((AND(R221="",O221&lt;=$M$1)),"Atrasada",AND(OR(R221="",R221&gt;=$M$1),O221&gt;$M$1),"Em andamento",R221="Cancelada","Cancelada",(OR(R221&lt;&gt;"",R221&lt;&gt;"Cancelada")),"Concluída")))</f>
        <v>Concluída</v>
      </c>
      <c r="T221" s="11"/>
      <c r="U221" s="6" t="s">
        <v>512</v>
      </c>
      <c r="V221" s="6"/>
      <c r="W221" s="6"/>
    </row>
    <row r="222" spans="2:23" x14ac:dyDescent="0.35">
      <c r="B222" s="3"/>
      <c r="C222" s="3"/>
      <c r="D222" s="3"/>
      <c r="E222" s="3"/>
      <c r="F222" s="5"/>
      <c r="G222" s="5"/>
      <c r="H222" s="5"/>
      <c r="I222" s="5"/>
      <c r="J222" s="5"/>
      <c r="K222" s="6"/>
      <c r="L222" s="3"/>
      <c r="M222" s="3"/>
      <c r="N222" s="3"/>
      <c r="O222" s="3"/>
      <c r="P222" s="3"/>
      <c r="Q222" s="3"/>
      <c r="R222" s="3"/>
      <c r="S222" s="3"/>
      <c r="T222" s="11"/>
      <c r="U222" s="6"/>
      <c r="V222" s="6"/>
      <c r="W222" s="6"/>
    </row>
    <row r="223" spans="2:23" x14ac:dyDescent="0.35">
      <c r="B223" s="3"/>
      <c r="C223" s="3"/>
      <c r="D223" s="3"/>
      <c r="E223" s="3"/>
      <c r="F223" s="5"/>
      <c r="G223" s="5"/>
      <c r="H223" s="5"/>
      <c r="I223" s="5"/>
      <c r="J223" s="5"/>
      <c r="K223" s="6"/>
      <c r="L223" s="3"/>
      <c r="M223" s="3"/>
      <c r="N223" s="3"/>
      <c r="O223" s="3"/>
      <c r="P223" s="3"/>
      <c r="Q223" s="3"/>
      <c r="R223" s="3"/>
      <c r="S223" s="3"/>
      <c r="T223" s="11"/>
      <c r="U223" s="6"/>
      <c r="V223" s="6"/>
      <c r="W223" s="6"/>
    </row>
    <row r="224" spans="2:23" x14ac:dyDescent="0.35">
      <c r="B224" s="3"/>
      <c r="C224" s="3"/>
      <c r="D224" s="3"/>
      <c r="E224" s="3"/>
      <c r="F224" s="5"/>
      <c r="G224" s="5"/>
      <c r="H224" s="5"/>
      <c r="I224" s="5"/>
      <c r="J224" s="5"/>
      <c r="K224" s="6"/>
      <c r="L224" s="3"/>
      <c r="M224" s="3"/>
      <c r="N224" s="3"/>
      <c r="O224" s="3"/>
      <c r="P224" s="3"/>
      <c r="Q224" s="3"/>
      <c r="R224" s="3"/>
      <c r="S224" s="3"/>
      <c r="T224" s="11"/>
      <c r="U224" s="6"/>
      <c r="V224" s="6"/>
      <c r="W224" s="6"/>
    </row>
    <row r="225" spans="2:23" x14ac:dyDescent="0.35">
      <c r="B225" s="3"/>
      <c r="C225" s="3"/>
      <c r="D225" s="3"/>
      <c r="E225" s="3"/>
      <c r="F225" s="5"/>
      <c r="G225" s="5"/>
      <c r="H225" s="5"/>
      <c r="I225" s="5"/>
      <c r="J225" s="5"/>
      <c r="K225" s="6"/>
      <c r="L225" s="3"/>
      <c r="M225" s="3"/>
      <c r="N225" s="3"/>
      <c r="O225" s="3"/>
      <c r="P225" s="3"/>
      <c r="Q225" s="3"/>
      <c r="R225" s="3"/>
      <c r="S225" s="3"/>
      <c r="T225" s="11"/>
      <c r="U225" s="6"/>
      <c r="V225" s="6"/>
      <c r="W225" s="6"/>
    </row>
    <row r="226" spans="2:23" x14ac:dyDescent="0.35">
      <c r="B226" s="3"/>
      <c r="C226" s="3"/>
      <c r="D226" s="3"/>
      <c r="E226" s="3"/>
      <c r="F226" s="5"/>
      <c r="G226" s="5"/>
      <c r="H226" s="5"/>
      <c r="I226" s="5"/>
      <c r="J226" s="5"/>
      <c r="K226" s="6"/>
      <c r="L226" s="3"/>
      <c r="M226" s="3"/>
      <c r="N226" s="3"/>
      <c r="O226" s="3"/>
      <c r="P226" s="3"/>
      <c r="Q226" s="3"/>
      <c r="R226" s="3"/>
      <c r="S226" s="3"/>
      <c r="T226" s="11"/>
      <c r="U226" s="6"/>
      <c r="V226" s="6"/>
      <c r="W226" s="6"/>
    </row>
    <row r="227" spans="2:23" x14ac:dyDescent="0.35">
      <c r="B227" s="3"/>
      <c r="C227" s="3"/>
      <c r="D227" s="3"/>
      <c r="E227" s="3"/>
      <c r="F227" s="5"/>
      <c r="G227" s="5"/>
      <c r="H227" s="5"/>
      <c r="I227" s="5"/>
      <c r="J227" s="5"/>
      <c r="K227" s="6"/>
      <c r="L227" s="3"/>
      <c r="M227" s="3"/>
      <c r="N227" s="3"/>
      <c r="O227" s="3"/>
      <c r="P227" s="3"/>
      <c r="Q227" s="3"/>
      <c r="R227" s="3"/>
      <c r="S227" s="3"/>
      <c r="T227" s="11"/>
      <c r="U227" s="6"/>
      <c r="V227" s="6"/>
      <c r="W227" s="6"/>
    </row>
    <row r="228" spans="2:23" x14ac:dyDescent="0.35">
      <c r="B228" s="3"/>
      <c r="C228" s="3"/>
      <c r="D228" s="3"/>
      <c r="E228" s="3"/>
      <c r="F228" s="5"/>
      <c r="G228" s="5"/>
      <c r="H228" s="5"/>
      <c r="I228" s="5"/>
      <c r="J228" s="5"/>
      <c r="K228" s="6"/>
      <c r="L228" s="3"/>
      <c r="M228" s="3"/>
      <c r="N228" s="3"/>
      <c r="O228" s="3"/>
      <c r="P228" s="3"/>
      <c r="Q228" s="3"/>
      <c r="R228" s="3"/>
      <c r="S228" s="3"/>
      <c r="T228" s="11"/>
      <c r="U228" s="6"/>
      <c r="V228" s="6"/>
      <c r="W228" s="6"/>
    </row>
    <row r="229" spans="2:23" x14ac:dyDescent="0.35">
      <c r="B229" s="3"/>
      <c r="C229" s="3"/>
      <c r="D229" s="3"/>
      <c r="E229" s="3"/>
      <c r="F229" s="5"/>
      <c r="G229" s="5"/>
      <c r="H229" s="5"/>
      <c r="I229" s="5"/>
      <c r="J229" s="5"/>
      <c r="K229" s="6"/>
      <c r="L229" s="3"/>
      <c r="M229" s="3"/>
      <c r="N229" s="3"/>
      <c r="O229" s="3"/>
      <c r="P229" s="3"/>
      <c r="Q229" s="3"/>
      <c r="R229" s="3"/>
      <c r="S229" s="3"/>
      <c r="T229" s="11"/>
      <c r="U229" s="6"/>
      <c r="V229" s="6"/>
      <c r="W229" s="6"/>
    </row>
    <row r="230" spans="2:23" x14ac:dyDescent="0.35">
      <c r="B230" s="3"/>
      <c r="C230" s="3"/>
      <c r="D230" s="3"/>
      <c r="E230" s="3"/>
      <c r="F230" s="5"/>
      <c r="G230" s="5"/>
      <c r="H230" s="5"/>
      <c r="I230" s="5"/>
      <c r="J230" s="5"/>
      <c r="K230" s="6"/>
      <c r="L230" s="3"/>
      <c r="M230" s="3"/>
      <c r="N230" s="3"/>
      <c r="O230" s="3"/>
      <c r="P230" s="3"/>
      <c r="Q230" s="3"/>
      <c r="R230" s="3"/>
      <c r="S230" s="3"/>
      <c r="T230" s="11"/>
      <c r="U230" s="6"/>
      <c r="V230" s="6"/>
      <c r="W230" s="6"/>
    </row>
    <row r="231" spans="2:23" x14ac:dyDescent="0.35">
      <c r="B231" s="3"/>
      <c r="C231" s="3"/>
      <c r="D231" s="3"/>
      <c r="E231" s="3"/>
      <c r="F231" s="5"/>
      <c r="G231" s="5"/>
      <c r="H231" s="5"/>
      <c r="I231" s="5"/>
      <c r="J231" s="5"/>
      <c r="K231" s="6"/>
      <c r="L231" s="3"/>
      <c r="M231" s="3"/>
      <c r="N231" s="3"/>
      <c r="O231" s="3"/>
      <c r="P231" s="3"/>
      <c r="Q231" s="3"/>
      <c r="R231" s="3"/>
      <c r="S231" s="3"/>
      <c r="T231" s="11"/>
      <c r="U231" s="6"/>
      <c r="V231" s="6"/>
      <c r="W231" s="6"/>
    </row>
    <row r="232" spans="2:23" x14ac:dyDescent="0.35">
      <c r="B232" s="3"/>
      <c r="C232" s="3"/>
      <c r="D232" s="3"/>
      <c r="E232" s="3"/>
      <c r="F232" s="5"/>
      <c r="G232" s="5"/>
      <c r="H232" s="5"/>
      <c r="I232" s="5"/>
      <c r="J232" s="5"/>
      <c r="K232" s="6"/>
      <c r="L232" s="3"/>
      <c r="M232" s="3"/>
      <c r="N232" s="3"/>
      <c r="O232" s="3"/>
      <c r="P232" s="3"/>
      <c r="Q232" s="3"/>
      <c r="R232" s="3"/>
      <c r="S232" s="3"/>
      <c r="T232" s="11"/>
      <c r="U232" s="6"/>
      <c r="V232" s="6"/>
      <c r="W232" s="6"/>
    </row>
    <row r="233" spans="2:23" x14ac:dyDescent="0.35">
      <c r="B233" s="3"/>
      <c r="C233" s="3"/>
      <c r="D233" s="3"/>
      <c r="E233" s="3"/>
      <c r="F233" s="5"/>
      <c r="G233" s="5"/>
      <c r="H233" s="5"/>
      <c r="I233" s="5"/>
      <c r="J233" s="5"/>
      <c r="K233" s="6"/>
      <c r="L233" s="3"/>
      <c r="M233" s="3"/>
      <c r="N233" s="3"/>
      <c r="O233" s="3"/>
      <c r="P233" s="3"/>
      <c r="Q233" s="3"/>
      <c r="R233" s="3"/>
      <c r="S233" s="3"/>
      <c r="T233" s="11"/>
      <c r="U233" s="6"/>
      <c r="V233" s="6"/>
      <c r="W233" s="6"/>
    </row>
  </sheetData>
  <autoFilter ref="A2:AC211" xr:uid="{D13FF36F-5BEC-4CA0-88F3-DA666CD02AB3}"/>
  <phoneticPr fontId="14" type="noConversion"/>
  <conditionalFormatting sqref="S3:S221">
    <cfRule type="cellIs" dxfId="3" priority="9" operator="equal">
      <formula>"Concluída"</formula>
    </cfRule>
    <cfRule type="cellIs" dxfId="2" priority="10" operator="equal">
      <formula>"Cancelada"</formula>
    </cfRule>
    <cfRule type="cellIs" dxfId="1" priority="11" operator="equal">
      <formula>"Em andamento"</formula>
    </cfRule>
    <cfRule type="cellIs" dxfId="0" priority="12" operator="equal">
      <formula>"Atrasada"</formula>
    </cfRule>
  </conditionalFormatting>
  <dataValidations disablePrompts="1" count="1">
    <dataValidation type="list" allowBlank="1" showInputMessage="1" showErrorMessage="1" sqref="C67:C107 C112:C160" xr:uid="{9AECCA74-4577-4ABD-913F-EA6ED1776C8E}">
      <formula1>$AC$61:$AC$65</formula1>
    </dataValidation>
  </dataValidations>
  <pageMargins left="0.511811024" right="0.511811024" top="0.78740157499999996" bottom="0.78740157499999996" header="0.31496062000000002" footer="0.31496062000000002"/>
  <pageSetup paperSize="9" scale="3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6B8C9-C982-418E-96DE-39E7E3795155}">
  <dimension ref="A1:C88"/>
  <sheetViews>
    <sheetView workbookViewId="0">
      <selection sqref="A1:XFD1048576"/>
    </sheetView>
  </sheetViews>
  <sheetFormatPr defaultRowHeight="14.5" x14ac:dyDescent="0.35"/>
  <cols>
    <col min="3" max="3" width="10.453125" bestFit="1" customWidth="1"/>
  </cols>
  <sheetData>
    <row r="1" spans="1:3" x14ac:dyDescent="0.35">
      <c r="A1" s="25">
        <v>45187</v>
      </c>
      <c r="B1">
        <f t="shared" ref="B1:B64" si="0">WEEKDAY(A1,1)</f>
        <v>2</v>
      </c>
      <c r="C1" t="s">
        <v>513</v>
      </c>
    </row>
    <row r="2" spans="1:3" x14ac:dyDescent="0.35">
      <c r="A2" s="25">
        <v>45188</v>
      </c>
      <c r="B2">
        <f t="shared" si="0"/>
        <v>3</v>
      </c>
      <c r="C2" t="s">
        <v>513</v>
      </c>
    </row>
    <row r="3" spans="1:3" x14ac:dyDescent="0.35">
      <c r="A3" s="25">
        <v>45189</v>
      </c>
      <c r="B3">
        <f t="shared" si="0"/>
        <v>4</v>
      </c>
      <c r="C3" t="s">
        <v>513</v>
      </c>
    </row>
    <row r="4" spans="1:3" x14ac:dyDescent="0.35">
      <c r="A4" s="25">
        <v>45190</v>
      </c>
      <c r="B4">
        <f t="shared" si="0"/>
        <v>5</v>
      </c>
      <c r="C4" t="s">
        <v>513</v>
      </c>
    </row>
    <row r="5" spans="1:3" x14ac:dyDescent="0.35">
      <c r="A5" s="25">
        <v>45191</v>
      </c>
      <c r="B5">
        <f t="shared" si="0"/>
        <v>6</v>
      </c>
      <c r="C5" t="s">
        <v>513</v>
      </c>
    </row>
    <row r="6" spans="1:3" x14ac:dyDescent="0.35">
      <c r="A6" s="25">
        <v>45192</v>
      </c>
      <c r="B6">
        <f t="shared" si="0"/>
        <v>7</v>
      </c>
      <c r="C6" t="s">
        <v>513</v>
      </c>
    </row>
    <row r="7" spans="1:3" x14ac:dyDescent="0.35">
      <c r="A7" s="25">
        <v>45193</v>
      </c>
      <c r="B7">
        <f t="shared" si="0"/>
        <v>1</v>
      </c>
      <c r="C7" t="s">
        <v>513</v>
      </c>
    </row>
    <row r="8" spans="1:3" x14ac:dyDescent="0.35">
      <c r="A8" s="25">
        <v>45194</v>
      </c>
      <c r="B8">
        <f t="shared" si="0"/>
        <v>2</v>
      </c>
      <c r="C8" t="s">
        <v>514</v>
      </c>
    </row>
    <row r="9" spans="1:3" x14ac:dyDescent="0.35">
      <c r="A9" s="25">
        <v>45195</v>
      </c>
      <c r="B9">
        <f t="shared" si="0"/>
        <v>3</v>
      </c>
      <c r="C9" t="s">
        <v>514</v>
      </c>
    </row>
    <row r="10" spans="1:3" x14ac:dyDescent="0.35">
      <c r="A10" s="25">
        <v>45196</v>
      </c>
      <c r="B10">
        <f t="shared" si="0"/>
        <v>4</v>
      </c>
      <c r="C10" t="s">
        <v>514</v>
      </c>
    </row>
    <row r="11" spans="1:3" x14ac:dyDescent="0.35">
      <c r="A11" s="25">
        <v>45197</v>
      </c>
      <c r="B11">
        <f t="shared" si="0"/>
        <v>5</v>
      </c>
      <c r="C11" t="s">
        <v>514</v>
      </c>
    </row>
    <row r="12" spans="1:3" x14ac:dyDescent="0.35">
      <c r="A12" s="25">
        <v>45198</v>
      </c>
      <c r="B12">
        <f t="shared" si="0"/>
        <v>6</v>
      </c>
      <c r="C12" t="s">
        <v>514</v>
      </c>
    </row>
    <row r="13" spans="1:3" x14ac:dyDescent="0.35">
      <c r="A13" s="25">
        <v>45199</v>
      </c>
      <c r="B13">
        <f t="shared" si="0"/>
        <v>7</v>
      </c>
      <c r="C13" t="s">
        <v>514</v>
      </c>
    </row>
    <row r="14" spans="1:3" x14ac:dyDescent="0.35">
      <c r="A14" s="25">
        <v>45200</v>
      </c>
      <c r="B14">
        <f t="shared" si="0"/>
        <v>1</v>
      </c>
      <c r="C14" t="s">
        <v>514</v>
      </c>
    </row>
    <row r="15" spans="1:3" x14ac:dyDescent="0.35">
      <c r="A15" s="25">
        <v>45201</v>
      </c>
      <c r="B15">
        <f t="shared" si="0"/>
        <v>2</v>
      </c>
      <c r="C15" t="s">
        <v>515</v>
      </c>
    </row>
    <row r="16" spans="1:3" x14ac:dyDescent="0.35">
      <c r="A16" s="25">
        <v>45202</v>
      </c>
      <c r="B16">
        <f t="shared" si="0"/>
        <v>3</v>
      </c>
      <c r="C16" t="s">
        <v>515</v>
      </c>
    </row>
    <row r="17" spans="1:3" x14ac:dyDescent="0.35">
      <c r="A17" s="25">
        <v>45203</v>
      </c>
      <c r="B17">
        <f t="shared" si="0"/>
        <v>4</v>
      </c>
      <c r="C17" t="s">
        <v>515</v>
      </c>
    </row>
    <row r="18" spans="1:3" x14ac:dyDescent="0.35">
      <c r="A18" s="25">
        <v>45204</v>
      </c>
      <c r="B18">
        <f t="shared" si="0"/>
        <v>5</v>
      </c>
      <c r="C18" t="s">
        <v>515</v>
      </c>
    </row>
    <row r="19" spans="1:3" x14ac:dyDescent="0.35">
      <c r="A19" s="25">
        <v>45205</v>
      </c>
      <c r="B19">
        <f t="shared" si="0"/>
        <v>6</v>
      </c>
      <c r="C19" t="s">
        <v>515</v>
      </c>
    </row>
    <row r="20" spans="1:3" x14ac:dyDescent="0.35">
      <c r="A20" s="25">
        <v>45206</v>
      </c>
      <c r="B20">
        <f t="shared" si="0"/>
        <v>7</v>
      </c>
      <c r="C20" t="s">
        <v>515</v>
      </c>
    </row>
    <row r="21" spans="1:3" x14ac:dyDescent="0.35">
      <c r="A21" s="25">
        <v>45207</v>
      </c>
      <c r="B21">
        <f t="shared" si="0"/>
        <v>1</v>
      </c>
      <c r="C21" t="s">
        <v>515</v>
      </c>
    </row>
    <row r="22" spans="1:3" x14ac:dyDescent="0.35">
      <c r="A22" s="25">
        <v>45208</v>
      </c>
      <c r="B22">
        <f t="shared" si="0"/>
        <v>2</v>
      </c>
      <c r="C22" t="s">
        <v>516</v>
      </c>
    </row>
    <row r="23" spans="1:3" x14ac:dyDescent="0.35">
      <c r="A23" s="25">
        <v>45209</v>
      </c>
      <c r="B23">
        <f t="shared" si="0"/>
        <v>3</v>
      </c>
      <c r="C23" t="s">
        <v>516</v>
      </c>
    </row>
    <row r="24" spans="1:3" x14ac:dyDescent="0.35">
      <c r="A24" s="25">
        <v>45210</v>
      </c>
      <c r="B24">
        <f t="shared" si="0"/>
        <v>4</v>
      </c>
      <c r="C24" t="s">
        <v>516</v>
      </c>
    </row>
    <row r="25" spans="1:3" x14ac:dyDescent="0.35">
      <c r="A25" s="25">
        <v>45211</v>
      </c>
      <c r="B25">
        <f t="shared" si="0"/>
        <v>5</v>
      </c>
      <c r="C25" t="s">
        <v>516</v>
      </c>
    </row>
    <row r="26" spans="1:3" x14ac:dyDescent="0.35">
      <c r="A26" s="25">
        <v>45212</v>
      </c>
      <c r="B26">
        <f t="shared" si="0"/>
        <v>6</v>
      </c>
      <c r="C26" t="s">
        <v>516</v>
      </c>
    </row>
    <row r="27" spans="1:3" x14ac:dyDescent="0.35">
      <c r="A27" s="25">
        <v>45213</v>
      </c>
      <c r="B27">
        <f t="shared" si="0"/>
        <v>7</v>
      </c>
      <c r="C27" t="s">
        <v>516</v>
      </c>
    </row>
    <row r="28" spans="1:3" x14ac:dyDescent="0.35">
      <c r="A28" s="25">
        <v>45214</v>
      </c>
      <c r="B28">
        <f t="shared" si="0"/>
        <v>1</v>
      </c>
      <c r="C28" t="s">
        <v>516</v>
      </c>
    </row>
    <row r="29" spans="1:3" x14ac:dyDescent="0.35">
      <c r="A29" s="25">
        <v>45215</v>
      </c>
      <c r="B29">
        <f t="shared" si="0"/>
        <v>2</v>
      </c>
      <c r="C29" t="s">
        <v>517</v>
      </c>
    </row>
    <row r="30" spans="1:3" x14ac:dyDescent="0.35">
      <c r="A30" s="25">
        <v>45216</v>
      </c>
      <c r="B30">
        <f t="shared" si="0"/>
        <v>3</v>
      </c>
      <c r="C30" t="s">
        <v>517</v>
      </c>
    </row>
    <row r="31" spans="1:3" x14ac:dyDescent="0.35">
      <c r="A31" s="25">
        <v>45217</v>
      </c>
      <c r="B31">
        <f t="shared" si="0"/>
        <v>4</v>
      </c>
      <c r="C31" t="s">
        <v>517</v>
      </c>
    </row>
    <row r="32" spans="1:3" x14ac:dyDescent="0.35">
      <c r="A32" s="25">
        <v>45218</v>
      </c>
      <c r="B32">
        <f t="shared" si="0"/>
        <v>5</v>
      </c>
      <c r="C32" t="s">
        <v>517</v>
      </c>
    </row>
    <row r="33" spans="1:3" x14ac:dyDescent="0.35">
      <c r="A33" s="25">
        <v>45219</v>
      </c>
      <c r="B33">
        <f t="shared" si="0"/>
        <v>6</v>
      </c>
      <c r="C33" t="s">
        <v>517</v>
      </c>
    </row>
    <row r="34" spans="1:3" x14ac:dyDescent="0.35">
      <c r="A34" s="25">
        <v>45220</v>
      </c>
      <c r="B34">
        <f t="shared" si="0"/>
        <v>7</v>
      </c>
      <c r="C34" t="s">
        <v>517</v>
      </c>
    </row>
    <row r="35" spans="1:3" x14ac:dyDescent="0.35">
      <c r="A35" s="25">
        <v>45221</v>
      </c>
      <c r="B35">
        <f t="shared" si="0"/>
        <v>1</v>
      </c>
      <c r="C35" t="s">
        <v>517</v>
      </c>
    </row>
    <row r="36" spans="1:3" x14ac:dyDescent="0.35">
      <c r="A36" s="25">
        <v>45222</v>
      </c>
      <c r="B36">
        <f t="shared" si="0"/>
        <v>2</v>
      </c>
      <c r="C36" t="s">
        <v>518</v>
      </c>
    </row>
    <row r="37" spans="1:3" x14ac:dyDescent="0.35">
      <c r="A37" s="25">
        <v>45223</v>
      </c>
      <c r="B37">
        <f t="shared" si="0"/>
        <v>3</v>
      </c>
      <c r="C37" t="s">
        <v>518</v>
      </c>
    </row>
    <row r="38" spans="1:3" x14ac:dyDescent="0.35">
      <c r="A38" s="25">
        <v>45224</v>
      </c>
      <c r="B38">
        <f t="shared" si="0"/>
        <v>4</v>
      </c>
      <c r="C38" t="s">
        <v>518</v>
      </c>
    </row>
    <row r="39" spans="1:3" x14ac:dyDescent="0.35">
      <c r="A39" s="25">
        <v>45225</v>
      </c>
      <c r="B39">
        <f t="shared" si="0"/>
        <v>5</v>
      </c>
      <c r="C39" t="s">
        <v>518</v>
      </c>
    </row>
    <row r="40" spans="1:3" x14ac:dyDescent="0.35">
      <c r="A40" s="25">
        <v>45226</v>
      </c>
      <c r="B40">
        <f t="shared" si="0"/>
        <v>6</v>
      </c>
      <c r="C40" t="s">
        <v>518</v>
      </c>
    </row>
    <row r="41" spans="1:3" x14ac:dyDescent="0.35">
      <c r="A41" s="25">
        <v>45227</v>
      </c>
      <c r="B41">
        <f t="shared" si="0"/>
        <v>7</v>
      </c>
      <c r="C41" t="s">
        <v>518</v>
      </c>
    </row>
    <row r="42" spans="1:3" x14ac:dyDescent="0.35">
      <c r="A42" s="25">
        <v>45228</v>
      </c>
      <c r="B42">
        <f t="shared" si="0"/>
        <v>1</v>
      </c>
      <c r="C42" t="s">
        <v>518</v>
      </c>
    </row>
    <row r="43" spans="1:3" x14ac:dyDescent="0.35">
      <c r="A43" s="25">
        <v>45229</v>
      </c>
      <c r="B43">
        <f t="shared" si="0"/>
        <v>2</v>
      </c>
      <c r="C43" t="s">
        <v>519</v>
      </c>
    </row>
    <row r="44" spans="1:3" x14ac:dyDescent="0.35">
      <c r="A44" s="25">
        <v>45230</v>
      </c>
      <c r="B44">
        <f t="shared" si="0"/>
        <v>3</v>
      </c>
      <c r="C44" t="s">
        <v>519</v>
      </c>
    </row>
    <row r="45" spans="1:3" x14ac:dyDescent="0.35">
      <c r="A45" s="25">
        <v>45231</v>
      </c>
      <c r="B45">
        <f t="shared" si="0"/>
        <v>4</v>
      </c>
      <c r="C45" t="s">
        <v>519</v>
      </c>
    </row>
    <row r="46" spans="1:3" x14ac:dyDescent="0.35">
      <c r="A46" s="25">
        <v>45232</v>
      </c>
      <c r="B46">
        <f t="shared" si="0"/>
        <v>5</v>
      </c>
      <c r="C46" t="s">
        <v>519</v>
      </c>
    </row>
    <row r="47" spans="1:3" x14ac:dyDescent="0.35">
      <c r="A47" s="25">
        <v>45233</v>
      </c>
      <c r="B47">
        <f t="shared" si="0"/>
        <v>6</v>
      </c>
      <c r="C47" t="s">
        <v>519</v>
      </c>
    </row>
    <row r="48" spans="1:3" x14ac:dyDescent="0.35">
      <c r="A48" s="25">
        <v>45234</v>
      </c>
      <c r="B48">
        <f t="shared" si="0"/>
        <v>7</v>
      </c>
      <c r="C48" t="s">
        <v>519</v>
      </c>
    </row>
    <row r="49" spans="1:3" x14ac:dyDescent="0.35">
      <c r="A49" s="25">
        <v>45235</v>
      </c>
      <c r="B49">
        <f t="shared" si="0"/>
        <v>1</v>
      </c>
      <c r="C49" t="s">
        <v>519</v>
      </c>
    </row>
    <row r="50" spans="1:3" x14ac:dyDescent="0.35">
      <c r="A50" s="25">
        <v>45236</v>
      </c>
      <c r="B50">
        <f t="shared" si="0"/>
        <v>2</v>
      </c>
      <c r="C50" t="s">
        <v>520</v>
      </c>
    </row>
    <row r="51" spans="1:3" x14ac:dyDescent="0.35">
      <c r="A51" s="25">
        <v>45237</v>
      </c>
      <c r="B51">
        <f t="shared" si="0"/>
        <v>3</v>
      </c>
      <c r="C51" t="s">
        <v>520</v>
      </c>
    </row>
    <row r="52" spans="1:3" x14ac:dyDescent="0.35">
      <c r="A52" s="25">
        <v>45238</v>
      </c>
      <c r="B52">
        <f t="shared" si="0"/>
        <v>4</v>
      </c>
      <c r="C52" t="s">
        <v>520</v>
      </c>
    </row>
    <row r="53" spans="1:3" x14ac:dyDescent="0.35">
      <c r="A53" s="25">
        <v>45239</v>
      </c>
      <c r="B53">
        <f t="shared" si="0"/>
        <v>5</v>
      </c>
      <c r="C53" t="s">
        <v>520</v>
      </c>
    </row>
    <row r="54" spans="1:3" x14ac:dyDescent="0.35">
      <c r="A54" s="25">
        <v>45240</v>
      </c>
      <c r="B54">
        <f t="shared" si="0"/>
        <v>6</v>
      </c>
      <c r="C54" t="s">
        <v>520</v>
      </c>
    </row>
    <row r="55" spans="1:3" x14ac:dyDescent="0.35">
      <c r="A55" s="25">
        <v>45241</v>
      </c>
      <c r="B55">
        <f t="shared" si="0"/>
        <v>7</v>
      </c>
      <c r="C55" t="s">
        <v>520</v>
      </c>
    </row>
    <row r="56" spans="1:3" x14ac:dyDescent="0.35">
      <c r="A56" s="25">
        <v>45242</v>
      </c>
      <c r="B56">
        <f t="shared" si="0"/>
        <v>1</v>
      </c>
      <c r="C56" t="s">
        <v>520</v>
      </c>
    </row>
    <row r="57" spans="1:3" x14ac:dyDescent="0.35">
      <c r="A57" s="25">
        <v>45243</v>
      </c>
      <c r="B57">
        <f t="shared" si="0"/>
        <v>2</v>
      </c>
      <c r="C57" t="s">
        <v>521</v>
      </c>
    </row>
    <row r="58" spans="1:3" x14ac:dyDescent="0.35">
      <c r="A58" s="25">
        <v>45244</v>
      </c>
      <c r="B58">
        <f t="shared" si="0"/>
        <v>3</v>
      </c>
      <c r="C58" t="s">
        <v>521</v>
      </c>
    </row>
    <row r="59" spans="1:3" x14ac:dyDescent="0.35">
      <c r="A59" s="25">
        <v>45245</v>
      </c>
      <c r="B59">
        <f t="shared" si="0"/>
        <v>4</v>
      </c>
      <c r="C59" t="s">
        <v>521</v>
      </c>
    </row>
    <row r="60" spans="1:3" x14ac:dyDescent="0.35">
      <c r="A60" s="25">
        <v>45246</v>
      </c>
      <c r="B60">
        <f t="shared" si="0"/>
        <v>5</v>
      </c>
      <c r="C60" t="s">
        <v>521</v>
      </c>
    </row>
    <row r="61" spans="1:3" x14ac:dyDescent="0.35">
      <c r="A61" s="25">
        <v>45247</v>
      </c>
      <c r="B61">
        <f t="shared" si="0"/>
        <v>6</v>
      </c>
      <c r="C61" t="s">
        <v>521</v>
      </c>
    </row>
    <row r="62" spans="1:3" x14ac:dyDescent="0.35">
      <c r="A62" s="25">
        <v>45248</v>
      </c>
      <c r="B62">
        <f t="shared" si="0"/>
        <v>7</v>
      </c>
      <c r="C62" t="s">
        <v>521</v>
      </c>
    </row>
    <row r="63" spans="1:3" x14ac:dyDescent="0.35">
      <c r="A63" s="25">
        <v>45249</v>
      </c>
      <c r="B63">
        <f t="shared" si="0"/>
        <v>1</v>
      </c>
      <c r="C63" t="s">
        <v>521</v>
      </c>
    </row>
    <row r="64" spans="1:3" x14ac:dyDescent="0.35">
      <c r="A64" s="25">
        <v>45250</v>
      </c>
      <c r="B64">
        <f t="shared" si="0"/>
        <v>2</v>
      </c>
      <c r="C64" t="s">
        <v>522</v>
      </c>
    </row>
    <row r="65" spans="1:3" x14ac:dyDescent="0.35">
      <c r="A65" s="25">
        <v>45251</v>
      </c>
      <c r="B65">
        <f t="shared" ref="B65:B82" si="1">WEEKDAY(A65,1)</f>
        <v>3</v>
      </c>
      <c r="C65" t="s">
        <v>522</v>
      </c>
    </row>
    <row r="66" spans="1:3" x14ac:dyDescent="0.35">
      <c r="A66" s="25">
        <v>45252</v>
      </c>
      <c r="B66">
        <f t="shared" si="1"/>
        <v>4</v>
      </c>
      <c r="C66" t="s">
        <v>522</v>
      </c>
    </row>
    <row r="67" spans="1:3" x14ac:dyDescent="0.35">
      <c r="A67" s="25">
        <v>45253</v>
      </c>
      <c r="B67">
        <f t="shared" si="1"/>
        <v>5</v>
      </c>
      <c r="C67" t="s">
        <v>522</v>
      </c>
    </row>
    <row r="68" spans="1:3" x14ac:dyDescent="0.35">
      <c r="A68" s="25">
        <v>45254</v>
      </c>
      <c r="B68">
        <f t="shared" si="1"/>
        <v>6</v>
      </c>
      <c r="C68" t="s">
        <v>522</v>
      </c>
    </row>
    <row r="69" spans="1:3" x14ac:dyDescent="0.35">
      <c r="A69" s="25">
        <v>45255</v>
      </c>
      <c r="B69">
        <f t="shared" si="1"/>
        <v>7</v>
      </c>
      <c r="C69" t="s">
        <v>522</v>
      </c>
    </row>
    <row r="70" spans="1:3" x14ac:dyDescent="0.35">
      <c r="A70" s="25">
        <v>45256</v>
      </c>
      <c r="B70">
        <f t="shared" si="1"/>
        <v>1</v>
      </c>
      <c r="C70" t="s">
        <v>522</v>
      </c>
    </row>
    <row r="71" spans="1:3" x14ac:dyDescent="0.35">
      <c r="A71" s="25">
        <v>45257</v>
      </c>
      <c r="B71">
        <f t="shared" si="1"/>
        <v>2</v>
      </c>
      <c r="C71" t="s">
        <v>523</v>
      </c>
    </row>
    <row r="72" spans="1:3" x14ac:dyDescent="0.35">
      <c r="A72" s="25">
        <v>45258</v>
      </c>
      <c r="B72">
        <f t="shared" si="1"/>
        <v>3</v>
      </c>
      <c r="C72" t="s">
        <v>523</v>
      </c>
    </row>
    <row r="73" spans="1:3" x14ac:dyDescent="0.35">
      <c r="A73" s="25">
        <v>45259</v>
      </c>
      <c r="B73">
        <f t="shared" si="1"/>
        <v>4</v>
      </c>
      <c r="C73" t="s">
        <v>523</v>
      </c>
    </row>
    <row r="74" spans="1:3" x14ac:dyDescent="0.35">
      <c r="A74" s="25">
        <v>45260</v>
      </c>
      <c r="B74">
        <f t="shared" si="1"/>
        <v>5</v>
      </c>
      <c r="C74" t="s">
        <v>523</v>
      </c>
    </row>
    <row r="75" spans="1:3" x14ac:dyDescent="0.35">
      <c r="A75" s="25">
        <v>45261</v>
      </c>
      <c r="B75">
        <f t="shared" si="1"/>
        <v>6</v>
      </c>
      <c r="C75" t="s">
        <v>523</v>
      </c>
    </row>
    <row r="76" spans="1:3" x14ac:dyDescent="0.35">
      <c r="A76" s="25">
        <v>45262</v>
      </c>
      <c r="B76">
        <f t="shared" si="1"/>
        <v>7</v>
      </c>
      <c r="C76" t="s">
        <v>523</v>
      </c>
    </row>
    <row r="77" spans="1:3" x14ac:dyDescent="0.35">
      <c r="A77" s="25">
        <v>45263</v>
      </c>
      <c r="B77">
        <f t="shared" si="1"/>
        <v>1</v>
      </c>
      <c r="C77" t="s">
        <v>523</v>
      </c>
    </row>
    <row r="78" spans="1:3" x14ac:dyDescent="0.35">
      <c r="A78" s="25">
        <v>45264</v>
      </c>
      <c r="B78">
        <f t="shared" si="1"/>
        <v>2</v>
      </c>
      <c r="C78" t="s">
        <v>524</v>
      </c>
    </row>
    <row r="79" spans="1:3" x14ac:dyDescent="0.35">
      <c r="A79" s="25">
        <v>45265</v>
      </c>
      <c r="B79">
        <f t="shared" si="1"/>
        <v>3</v>
      </c>
      <c r="C79" t="s">
        <v>524</v>
      </c>
    </row>
    <row r="80" spans="1:3" x14ac:dyDescent="0.35">
      <c r="A80" s="25">
        <v>45266</v>
      </c>
      <c r="B80">
        <f t="shared" si="1"/>
        <v>4</v>
      </c>
      <c r="C80" t="s">
        <v>524</v>
      </c>
    </row>
    <row r="81" spans="1:3" x14ac:dyDescent="0.35">
      <c r="A81" s="25">
        <v>45267</v>
      </c>
      <c r="B81">
        <f t="shared" si="1"/>
        <v>5</v>
      </c>
      <c r="C81" t="s">
        <v>524</v>
      </c>
    </row>
    <row r="82" spans="1:3" x14ac:dyDescent="0.35">
      <c r="A82" s="25">
        <v>45268</v>
      </c>
      <c r="B82">
        <f t="shared" si="1"/>
        <v>6</v>
      </c>
      <c r="C82" t="s">
        <v>524</v>
      </c>
    </row>
    <row r="83" spans="1:3" x14ac:dyDescent="0.35">
      <c r="A83" s="25"/>
    </row>
    <row r="84" spans="1:3" x14ac:dyDescent="0.35">
      <c r="A84" s="25"/>
    </row>
    <row r="85" spans="1:3" x14ac:dyDescent="0.35">
      <c r="A85" s="25"/>
    </row>
    <row r="86" spans="1:3" x14ac:dyDescent="0.35">
      <c r="A86" s="25"/>
    </row>
    <row r="87" spans="1:3" x14ac:dyDescent="0.35">
      <c r="A87" s="25"/>
    </row>
    <row r="88" spans="1:3" x14ac:dyDescent="0.35">
      <c r="A88" s="25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2E291F6FFF445A211A6DAFD277C41" ma:contentTypeVersion="4" ma:contentTypeDescription="Crie um novo documento." ma:contentTypeScope="" ma:versionID="efd17531999637768d6ea0358bcb6e21">
  <xsd:schema xmlns:xsd="http://www.w3.org/2001/XMLSchema" xmlns:xs="http://www.w3.org/2001/XMLSchema" xmlns:p="http://schemas.microsoft.com/office/2006/metadata/properties" xmlns:ns2="ba180f65-928e-474d-a134-670a385ee7b5" targetNamespace="http://schemas.microsoft.com/office/2006/metadata/properties" ma:root="true" ma:fieldsID="51608b86241367d10f4452cd7b8708ef" ns2:_="">
    <xsd:import namespace="ba180f65-928e-474d-a134-670a385ee7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180f65-928e-474d-a134-670a385ee7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0CEE6F26-F341-446B-9B54-5DCD15AEAD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180f65-928e-474d-a134-670a385ee7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036C994-50AF-4F68-AA04-DA838D947D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13944C-A483-49E8-8BAE-3C4E0DECF92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9982CE44-6C6A-4E58-9ADE-CE8901F448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Plano de Ação</vt:lpstr>
      <vt:lpstr>Semanas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TERRA</dc:creator>
  <cp:keywords/>
  <dc:description/>
  <cp:lastModifiedBy>Itanel Carvalho</cp:lastModifiedBy>
  <cp:revision/>
  <dcterms:created xsi:type="dcterms:W3CDTF">2015-04-24T12:37:47Z</dcterms:created>
  <dcterms:modified xsi:type="dcterms:W3CDTF">2026-08-31T11:49:21Z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8ffe829-b379-4ca7-9da2-fd81c4f72fe3_Enabled">
    <vt:lpwstr>true</vt:lpwstr>
  </property>
  <property fmtid="{D5CDD505-2E9C-101B-9397-08002B2CF9AE}" pid="3" name="MSIP_Label_18ffe829-b379-4ca7-9da2-fd81c4f72fe3_SetDate">
    <vt:lpwstr>2023-10-19T02:54:55Z</vt:lpwstr>
  </property>
  <property fmtid="{D5CDD505-2E9C-101B-9397-08002B2CF9AE}" pid="4" name="MSIP_Label_18ffe829-b379-4ca7-9da2-fd81c4f72fe3_Method">
    <vt:lpwstr>Privileged</vt:lpwstr>
  </property>
  <property fmtid="{D5CDD505-2E9C-101B-9397-08002B2CF9AE}" pid="5" name="MSIP_Label_18ffe829-b379-4ca7-9da2-fd81c4f72fe3_Name">
    <vt:lpwstr>Público</vt:lpwstr>
  </property>
  <property fmtid="{D5CDD505-2E9C-101B-9397-08002B2CF9AE}" pid="6" name="MSIP_Label_18ffe829-b379-4ca7-9da2-fd81c4f72fe3_SiteId">
    <vt:lpwstr>0c0bcda4-1b8e-46ab-b56c-4ae3741f4340</vt:lpwstr>
  </property>
  <property fmtid="{D5CDD505-2E9C-101B-9397-08002B2CF9AE}" pid="7" name="MSIP_Label_18ffe829-b379-4ca7-9da2-fd81c4f72fe3_ActionId">
    <vt:lpwstr>a3adb458-872a-4f77-94db-a387d8b99168</vt:lpwstr>
  </property>
  <property fmtid="{D5CDD505-2E9C-101B-9397-08002B2CF9AE}" pid="8" name="MSIP_Label_18ffe829-b379-4ca7-9da2-fd81c4f72fe3_ContentBits">
    <vt:lpwstr>0</vt:lpwstr>
  </property>
  <property fmtid="{D5CDD505-2E9C-101B-9397-08002B2CF9AE}" pid="9" name="ContentTypeId">
    <vt:lpwstr>0x010100C892E291F6FFF445A211A6DAFD277C41</vt:lpwstr>
  </property>
</Properties>
</file>